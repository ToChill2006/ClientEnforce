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 Dashboard" sheetId="2" state="visible" r:id="rId4"/>
    <sheet name="Inbox Warmup" sheetId="3" state="visible" r:id="rId5"/>
    <sheet name="Send Volume Calc" sheetId="4" state="visible" r:id="rId6"/>
    <sheet name="Pipeline" sheetId="5" state="visible" r:id="rId7"/>
    <sheet name="Sequence Tracker" sheetId="6" state="visible" r:id="rId8"/>
    <sheet name="LinkedIn Log" sheetId="7" state="visible" r:id="rId9"/>
    <sheet name="Content Calendar" sheetId="8" state="visible" r:id="rId10"/>
    <sheet name="SEO Cannibalisation" sheetId="9" state="visible" r:id="rId11"/>
    <sheet name="Path to 10k MRR" sheetId="10" state="visible" r:id="rId12"/>
    <sheet name="Suppression List" sheetId="11" state="visible" r:id="rId13"/>
    <sheet name="Weekly Review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<sst xmlns="http://schemas.openxmlformats.org/spreadsheetml/2006/main" count="725" uniqueCount="416">
  <si>
    <t xml:space="preserve">ClientEnforce Marketing Trackers</t>
  </si>
  <si>
    <t xml:space="preserve">Single source of truth for marketing operations. Updated daily (5 min) and weekly (Friday — full review). Numbers here MUST match the 5 docx files in this folder. Last updated: 10 May 2026. Owner: Thomas (info@clientenforce.com).</t>
  </si>
  <si>
    <t xml:space="preserve">HOW TO USE — colour coding</t>
  </si>
  <si>
    <t xml:space="preserve">Indicator</t>
  </si>
  <si>
    <t xml:space="preserve">What it means</t>
  </si>
  <si>
    <t xml:space="preserve">Blue text + pale-yellow cell</t>
  </si>
  <si>
    <t xml:space="preserve">An INPUT — you type in here. Update daily/weekly.</t>
  </si>
  <si>
    <t xml:space="preserve">Black text</t>
  </si>
  <si>
    <t xml:space="preserve">A CALCULATED value (formula). Don't overwrite — it'll break the model.</t>
  </si>
  <si>
    <t xml:space="preserve">Green text</t>
  </si>
  <si>
    <t xml:space="preserve">A LINK — pulls from another sheet in this workbook.</t>
  </si>
  <si>
    <t xml:space="preserve">Red number / red fill</t>
  </si>
  <si>
    <t xml:space="preserve">Crisis — needs immediate action.</t>
  </si>
  <si>
    <t xml:space="preserve">Amber number</t>
  </si>
  <si>
    <t xml:space="preserve">Warning — review at next checkpoint.</t>
  </si>
  <si>
    <t xml:space="preserve">Green number</t>
  </si>
  <si>
    <t xml:space="preserve">Healthy — at or above target.</t>
  </si>
  <si>
    <t xml:space="preserve">THE 11 SHEETS</t>
  </si>
  <si>
    <t xml:space="preserve">Sheet</t>
  </si>
  <si>
    <t xml:space="preserve">Purpose</t>
  </si>
  <si>
    <t xml:space="preserve">01. README</t>
  </si>
  <si>
    <t xml:space="preserve">This sheet. How the workbook works.</t>
  </si>
  <si>
    <t xml:space="preserve">02. KPI Dashboard</t>
  </si>
  <si>
    <t xml:space="preserve">ONE-VIEW DASHBOARD. Open this sheet first every morning.</t>
  </si>
  <si>
    <t xml:space="preserve">03. Inbox Warmup</t>
  </si>
  <si>
    <t xml:space="preserve">Daily status of 4 inboxes. Tracks days-in-warmup, going-live dates, daily volume.</t>
  </si>
  <si>
    <t xml:space="preserve">04. Send Volume Calc</t>
  </si>
  <si>
    <t xml:space="preserve">Calculator: inputs new prospects/day per inbox, outputs total volume + funnel.</t>
  </si>
  <si>
    <t xml:space="preserve">05. Pipeline</t>
  </si>
  <si>
    <t xml:space="preserve">Every prospect from outreach to paid customer. The CRM if we don't have one.</t>
  </si>
  <si>
    <t xml:space="preserve">06. Sequence Tracker</t>
  </si>
  <si>
    <t xml:space="preserve">Which sequence each prospect is in, what touch they're on.</t>
  </si>
  <si>
    <t xml:space="preserve">07. LinkedIn Log</t>
  </si>
  <si>
    <t xml:space="preserve">Daily comments, connections, DMs sent.</t>
  </si>
  <si>
    <t xml:space="preserve">08. Content Calendar</t>
  </si>
  <si>
    <t xml:space="preserve">5 LinkedIn posts/wk + blog posts + lifecycle emails.</t>
  </si>
  <si>
    <t xml:space="preserve">09. SEO Cannibalisation</t>
  </si>
  <si>
    <t xml:space="preserve">11 issues from Doc 04 — tracked to resolution.</t>
  </si>
  <si>
    <t xml:space="preserve">10. Path to £10k MRR</t>
  </si>
  <si>
    <t xml:space="preserve">Month-by-month target vs. actual.</t>
  </si>
  <si>
    <t xml:space="preserve">11. Suppression List</t>
  </si>
  <si>
    <t xml:space="preserve">Global opt-out list. GDPR-required across BOTH domains.</t>
  </si>
  <si>
    <t xml:space="preserve">12. Weekly Review</t>
  </si>
  <si>
    <t xml:space="preserve">Friday template. Fill in 30 min, share with self.</t>
  </si>
  <si>
    <t xml:space="preserve">DAILY ROUTINE (5 min)</t>
  </si>
  <si>
    <t xml:space="preserve">1. Open KPI Dashboard. Read the 'Yesterday' column. Note any red.</t>
  </si>
  <si>
    <t xml:space="preserve">2. Open Pipeline. Update any deals that moved stage yesterday.</t>
  </si>
  <si>
    <t xml:space="preserve">3. Open LinkedIn Log. Mark today's 10 comments + connection requests as you do them.</t>
  </si>
  <si>
    <t xml:space="preserve">4. Open Sequence Tracker. Note any reply that needs response in next hour.</t>
  </si>
  <si>
    <t xml:space="preserve">WEEKLY ROUTINE (Friday 30 min)</t>
  </si>
  <si>
    <t xml:space="preserve">1. Update KPI Dashboard 'This Week' column with all metrics.</t>
  </si>
  <si>
    <t xml:space="preserve">2. Update Path to £10k MRR with this week's net-new paid customers.</t>
  </si>
  <si>
    <t xml:space="preserve">3. Open Weekly Review. Fill in: wins, losses, one experiment for next week.</t>
  </si>
  <si>
    <t xml:space="preserve">4. Re-run SEMrush position tracker. Update SEO Cannibalisation status.</t>
  </si>
  <si>
    <t xml:space="preserve">5. Confirm warmup-to-cold ratios on all 4 inboxes (Inbox Warmup sheet).</t>
  </si>
  <si>
    <t xml:space="preserve">KPI Dashboard — open first every morning</t>
  </si>
  <si>
    <t xml:space="preserve">Yellow cells = type in. Black numbers = auto-calculated. Update Yesterday column at 9am daily; This Week column on Friday at 5pm.</t>
  </si>
  <si>
    <t xml:space="preserve">TOP OF FUNNEL</t>
  </si>
  <si>
    <t xml:space="preserve">Metric</t>
  </si>
  <si>
    <t xml:space="preserve">Yesterday</t>
  </si>
  <si>
    <t xml:space="preserve">This Week</t>
  </si>
  <si>
    <t xml:space="preserve">Last Week</t>
  </si>
  <si>
    <t xml:space="preserve">WoW change</t>
  </si>
  <si>
    <t xml:space="preserve">Monthly target</t>
  </si>
  <si>
    <t xml:space="preserve">Status</t>
  </si>
  <si>
    <t xml:space="preserve">Cold emails sent</t>
  </si>
  <si>
    <t xml:space="preserve">Cold email replies</t>
  </si>
  <si>
    <t xml:space="preserve">Cold email positive replies</t>
  </si>
  <si>
    <t xml:space="preserve">LinkedIn connection requests sent</t>
  </si>
  <si>
    <t xml:space="preserve">LinkedIn connection acceptances</t>
  </si>
  <si>
    <t xml:space="preserve">LinkedIn DMs sent</t>
  </si>
  <si>
    <t xml:space="preserve">LinkedIn DM replies</t>
  </si>
  <si>
    <t xml:space="preserve">LinkedIn comments made</t>
  </si>
  <si>
    <t xml:space="preserve">Founder posts published</t>
  </si>
  <si>
    <t xml:space="preserve">Founder post total impressions</t>
  </si>
  <si>
    <t xml:space="preserve">Organic site visits</t>
  </si>
  <si>
    <t xml:space="preserve">MID FUNNEL</t>
  </si>
  <si>
    <t xml:space="preserve">Demo calls booked</t>
  </si>
  <si>
    <t xml:space="preserve">Demo calls held</t>
  </si>
  <si>
    <t xml:space="preserve">Trial signups</t>
  </si>
  <si>
    <t xml:space="preserve">Visit→trial %</t>
  </si>
  <si>
    <t xml:space="preserve">Trial→paid %</t>
  </si>
  <si>
    <t xml:space="preserve">BOTTOM OF FUNNEL</t>
  </si>
  <si>
    <t xml:space="preserve">MoM change</t>
  </si>
  <si>
    <t xml:space="preserve">Net new paying customers (this month MTD)</t>
  </si>
  <si>
    <t xml:space="preserve">MRR (£)</t>
  </si>
  <si>
    <t xml:space="preserve">Logo churn (this month %)</t>
  </si>
  <si>
    <t xml:space="preserve">Path-to-10k progress %</t>
  </si>
  <si>
    <t xml:space="preserve">Inbox Warmup → Live Schedule</t>
  </si>
  <si>
    <t xml:space="preserve">From Doc 02 Section 3. The single source of truth for which inbox sends what volume on which day. DO NOT turn off warmup when an inbox goes live — warmup keeps running at reduced volume forever.</t>
  </si>
  <si>
    <t xml:space="preserve">CURRENT STATUS (10 May 2026)</t>
  </si>
  <si>
    <t xml:space="preserve">Domain</t>
  </si>
  <si>
    <t xml:space="preserve">Inbox</t>
  </si>
  <si>
    <t xml:space="preserve">Warmup day</t>
  </si>
  <si>
    <t xml:space="preserve">First cold-send date</t>
  </si>
  <si>
    <t xml:space="preserve">Steady-state date</t>
  </si>
  <si>
    <t xml:space="preserve">clientenforce.com</t>
  </si>
  <si>
    <t xml:space="preserve">thomas@clientenforce.com</t>
  </si>
  <si>
    <t xml:space="preserve">21 (DONE)</t>
  </si>
  <si>
    <t xml:space="preserve">✅ READY — start sending</t>
  </si>
  <si>
    <t xml:space="preserve">Mon 11 May 2026</t>
  </si>
  <si>
    <t xml:space="preserve">Mon 8 Jun 2026</t>
  </si>
  <si>
    <t xml:space="preserve">info@clientenforce.com</t>
  </si>
  <si>
    <t xml:space="preserve">7</t>
  </si>
  <si>
    <t xml:space="preserve">⚠️ WARMING (14 days more)</t>
  </si>
  <si>
    <t xml:space="preserve">Mon 25 May 2026</t>
  </si>
  <si>
    <t xml:space="preserve">Mon 22 Jun 2026</t>
  </si>
  <si>
    <t xml:space="preserve">tryclientenforce.com</t>
  </si>
  <si>
    <t xml:space="preserve">thomas@tryclientenforce.com</t>
  </si>
  <si>
    <t xml:space="preserve">tom@tryclientenforce.com</t>
  </si>
  <si>
    <t xml:space="preserve">WEEKLY RAMP — thomas@clientenforce.com</t>
  </si>
  <si>
    <t xml:space="preserve">Week start (Mon)</t>
  </si>
  <si>
    <t xml:space="preserve">Cold/day</t>
  </si>
  <si>
    <t xml:space="preserve">Warmup/day</t>
  </si>
  <si>
    <t xml:space="preserve">Total/day</t>
  </si>
  <si>
    <t xml:space="preserve">Touches in queue</t>
  </si>
  <si>
    <t xml:space="preserve">11 May 2026</t>
  </si>
  <si>
    <t xml:space="preserve">Touch 1 only</t>
  </si>
  <si>
    <t xml:space="preserve">18 May 2026</t>
  </si>
  <si>
    <t xml:space="preserve">Touches 1–2</t>
  </si>
  <si>
    <t xml:space="preserve">25 May 2026</t>
  </si>
  <si>
    <t xml:space="preserve">Touches 1–3</t>
  </si>
  <si>
    <t xml:space="preserve">1 Jun 2026</t>
  </si>
  <si>
    <t xml:space="preserve">Touches 1–4</t>
  </si>
  <si>
    <t xml:space="preserve">8 Jun 2026 (steady)</t>
  </si>
  <si>
    <t xml:space="preserve">Full sequence — DO NOT EXCEED</t>
  </si>
  <si>
    <t xml:space="preserve">WEEKLY RAMP — info@clientenforce.com (and both try* inboxes)</t>
  </si>
  <si>
    <t xml:space="preserve">Now → 24 May 2026</t>
  </si>
  <si>
    <t xml:space="preserve">default</t>
  </si>
  <si>
    <t xml:space="preserve">—</t>
  </si>
  <si>
    <t xml:space="preserve">0 — continue warmup only</t>
  </si>
  <si>
    <t xml:space="preserve">8 Jun 2026</t>
  </si>
  <si>
    <t xml:space="preserve">15 Jun 2026</t>
  </si>
  <si>
    <t xml:space="preserve">22 Jun 2026 (steady)</t>
  </si>
  <si>
    <t xml:space="preserve">STEADY-STATE TOTAL CAPACITY (from Mon 22 Jun)</t>
  </si>
  <si>
    <t xml:space="preserve">Segment ownership</t>
  </si>
  <si>
    <t xml:space="preserve">Tier-1 UK accountants (Sequence A)</t>
  </si>
  <si>
    <t xml:space="preserve">Tier-1 US accountants (Sequence B)</t>
  </si>
  <si>
    <t xml:space="preserve">Tier-1 UK &amp; US law firms (Sequence C)</t>
  </si>
  <si>
    <t xml:space="preserve">Tier-2 digital agencies (Sequence D)</t>
  </si>
  <si>
    <t xml:space="preserve">TOTAL</t>
  </si>
  <si>
    <t xml:space="preserve">5 days/week → see Send Volume Calc</t>
  </si>
  <si>
    <t xml:space="preserve">Send Volume Calculator</t>
  </si>
  <si>
    <t xml:space="preserve">Inputs (yellow cells) → outputs (black). Adjust inputs to see the effect. Default values match Doc 02 Section 4.</t>
  </si>
  <si>
    <t xml:space="preserve">INPUTS</t>
  </si>
  <si>
    <t xml:space="preserve">Number of active inboxes (steady state)</t>
  </si>
  <si>
    <t xml:space="preserve">Default 4 (2 per domain)</t>
  </si>
  <si>
    <t xml:space="preserve">Cold sends per inbox per day (cap)</t>
  </si>
  <si>
    <t xml:space="preserve">Hard cap from Instantly. Don't exceed.</t>
  </si>
  <si>
    <t xml:space="preserve">Email touches per sequence</t>
  </si>
  <si>
    <t xml:space="preserve">5 touches over 14 days (Day 0/3/7/10/14)</t>
  </si>
  <si>
    <t xml:space="preserve">Working days per week</t>
  </si>
  <si>
    <t xml:space="preserve">Mon–Fri (no weekend cold sends)</t>
  </si>
  <si>
    <t xml:space="preserve">Working days per month (avg)</t>
  </si>
  <si>
    <t xml:space="preserve">~22</t>
  </si>
  <si>
    <t xml:space="preserve">Reply rate target (well-targeted)</t>
  </si>
  <si>
    <t xml:space="preserve">8% — see Doc 02</t>
  </si>
  <si>
    <t xml:space="preserve">Positive reply rate (% of replies)</t>
  </si>
  <si>
    <t xml:space="preserve">40% — see Doc 02</t>
  </si>
  <si>
    <t xml:space="preserve">Meeting rate (% of positive)</t>
  </si>
  <si>
    <t xml:space="preserve">50% — see Doc 02</t>
  </si>
  <si>
    <t xml:space="preserve">Closed-won rate (% of meetings)</t>
  </si>
  <si>
    <t xml:space="preserve">20% — see Doc 02</t>
  </si>
  <si>
    <t xml:space="preserve">OUTPUTS — VOLUME</t>
  </si>
  <si>
    <t xml:space="preserve">Per inbox per day</t>
  </si>
  <si>
    <t xml:space="preserve">All inboxes per day</t>
  </si>
  <si>
    <t xml:space="preserve">Per week</t>
  </si>
  <si>
    <t xml:space="preserve">Per month</t>
  </si>
  <si>
    <t xml:space="preserve">NEW prospects added</t>
  </si>
  <si>
    <t xml:space="preserve">Total cold emails sent</t>
  </si>
  <si>
    <t xml:space="preserve">OUTPUTS — FUNNEL (per month)</t>
  </si>
  <si>
    <t xml:space="preserve">Stage</t>
  </si>
  <si>
    <t xml:space="preserve">Notes</t>
  </si>
  <si>
    <t xml:space="preserve">From inputs above</t>
  </si>
  <si>
    <t xml:space="preserve">Replies</t>
  </si>
  <si>
    <t xml:space="preserve">NEW prospects x reply rate</t>
  </si>
  <si>
    <t xml:space="preserve">Positive replies</t>
  </si>
  <si>
    <t xml:space="preserve">Replies x positive rate</t>
  </si>
  <si>
    <t xml:space="preserve">Meetings booked</t>
  </si>
  <si>
    <t xml:space="preserve">Positive replies x meeting rate</t>
  </si>
  <si>
    <t xml:space="preserve">Paying customers (cold email alone)</t>
  </si>
  <si>
    <t xml:space="preserve">Meetings x closed-won rate</t>
  </si>
  <si>
    <t xml:space="preserve">SCENARIO — what if you add a 5th inbox?</t>
  </si>
  <si>
    <t xml:space="preserve">Change cell B6 above to 5. Watch every output update.</t>
  </si>
  <si>
    <t xml:space="preserve">Pipeline Tracker</t>
  </si>
  <si>
    <t xml:space="preserve">Add one row per prospect when they show interest (positive reply / DM reply). Track them through stages. Lost prospects stay here with status='Lost' so we can analyse losses quarterly.</t>
  </si>
  <si>
    <t xml:space="preserve">STAGES (use these exact strings in Stage column)</t>
  </si>
  <si>
    <t xml:space="preserve">New → Contacted → Replied → Meeting Booked → Demo Done → Trialing → Paid → Lost</t>
  </si>
  <si>
    <t xml:space="preserve">Date added</t>
  </si>
  <si>
    <t xml:space="preserve">First name</t>
  </si>
  <si>
    <t xml:space="preserve">Last name</t>
  </si>
  <si>
    <t xml:space="preserve">Firm</t>
  </si>
  <si>
    <t xml:space="preserve">ICP segment</t>
  </si>
  <si>
    <t xml:space="preserve">Channel</t>
  </si>
  <si>
    <t xml:space="preserve">Owner</t>
  </si>
  <si>
    <t xml:space="preserve">Plan target</t>
  </si>
  <si>
    <t xml:space="preserve">Next action / date</t>
  </si>
  <si>
    <t xml:space="preserve">2026-04-15</t>
  </si>
  <si>
    <t xml:space="preserve">Tim</t>
  </si>
  <si>
    <t xml:space="preserve">(redacted)</t>
  </si>
  <si>
    <t xml:space="preserve">Telletire</t>
  </si>
  <si>
    <t xml:space="preserve">Multi-location auto</t>
  </si>
  <si>
    <t xml:space="preserve">SEO inbound</t>
  </si>
  <si>
    <t xml:space="preserve">Paid</t>
  </si>
  <si>
    <t xml:space="preserve">Thomas</t>
  </si>
  <si>
    <t xml:space="preserve">Scale £89</t>
  </si>
  <si>
    <t xml:space="preserve">Monthly check-in 15 May</t>
  </si>
  <si>
    <t xml:space="preserve">First customer. Case study.</t>
  </si>
  <si>
    <t xml:space="preserve">2026-05-08</t>
  </si>
  <si>
    <t xml:space="preserve">UK accountant</t>
  </si>
  <si>
    <t xml:space="preserve">Cold email A</t>
  </si>
  <si>
    <t xml:space="preserve">Replied</t>
  </si>
  <si>
    <t xml:space="preserve">Send case study + propose times — 11 May</t>
  </si>
  <si>
    <t xml:space="preserve">Replied positive on Touch 2</t>
  </si>
  <si>
    <t xml:space="preserve">2026-05-09</t>
  </si>
  <si>
    <t xml:space="preserve">UK law firm</t>
  </si>
  <si>
    <t xml:space="preserve">LinkedIn DM</t>
  </si>
  <si>
    <t xml:space="preserve">Meeting Booked</t>
  </si>
  <si>
    <t xml:space="preserve">Team £29 (test)</t>
  </si>
  <si>
    <t xml:space="preserve">Demo Wed 14 May 2pm BST</t>
  </si>
  <si>
    <t xml:space="preserve">Sole practitioner, KYC pain</t>
  </si>
  <si>
    <t xml:space="preserve">Cold Email Sequence Tracker</t>
  </si>
  <si>
    <t xml:space="preserve">Most of this is auto-managed by Instantly. Use this sheet for the prospects you want extra eyes on (high-value accounts, reply pending, anyone who needs a manual follow-up).</t>
  </si>
  <si>
    <t xml:space="preserve">Sequence</t>
  </si>
  <si>
    <t xml:space="preserve">Prospect (firm)</t>
  </si>
  <si>
    <t xml:space="preserve">Touch sent</t>
  </si>
  <si>
    <t xml:space="preserve">Last reply date</t>
  </si>
  <si>
    <t xml:space="preserve">Action / date</t>
  </si>
  <si>
    <t xml:space="preserve">A — UK Accountants</t>
  </si>
  <si>
    <t xml:space="preserve">(name)</t>
  </si>
  <si>
    <t xml:space="preserve">T1</t>
  </si>
  <si>
    <t xml:space="preserve">Awaiting reply</t>
  </si>
  <si>
    <t xml:space="preserve">Auto Touch 2 on 12 May</t>
  </si>
  <si>
    <t xml:space="preserve">(prep — info goes live 25 May)</t>
  </si>
  <si>
    <t xml:space="preserve">(prep — domain warming)</t>
  </si>
  <si>
    <t xml:space="preserve">LinkedIn Daily Log</t>
  </si>
  <si>
    <t xml:space="preserve">Track daily comments, connections, and DMs. Aim: 10 thoughtful comments/day on ICP posts, 10 connection requests/day with personal note, 5 DM follow-ups.</t>
  </si>
  <si>
    <t xml:space="preserve">Date</t>
  </si>
  <si>
    <t xml:space="preserve">Connections sent</t>
  </si>
  <si>
    <t xml:space="preserve">Connections accepted</t>
  </si>
  <si>
    <t xml:space="preserve">DMs sent</t>
  </si>
  <si>
    <t xml:space="preserve">DM replies</t>
  </si>
  <si>
    <t xml:space="preserve">Comments left</t>
  </si>
  <si>
    <t xml:space="preserve">Posts published</t>
  </si>
  <si>
    <t xml:space="preserve">Inbound DMs from ICP</t>
  </si>
  <si>
    <t xml:space="preserve">Mon 11 May</t>
  </si>
  <si>
    <t xml:space="preserve">Tue 12 May</t>
  </si>
  <si>
    <t xml:space="preserve">Wed 13 May</t>
  </si>
  <si>
    <t xml:space="preserve">Thu 14 May</t>
  </si>
  <si>
    <t xml:space="preserve">Fri 15 May</t>
  </si>
  <si>
    <t xml:space="preserve">Sat 16 May</t>
  </si>
  <si>
    <t xml:space="preserve">(weekend — no outbound)</t>
  </si>
  <si>
    <t xml:space="preserve">Sun 17 May</t>
  </si>
  <si>
    <t xml:space="preserve">Mon 18 May</t>
  </si>
  <si>
    <t xml:space="preserve">Tue 19 May</t>
  </si>
  <si>
    <t xml:space="preserve">Wed 20 May</t>
  </si>
  <si>
    <t xml:space="preserve">Thu 21 May</t>
  </si>
  <si>
    <t xml:space="preserve">Fri 22 May</t>
  </si>
  <si>
    <t xml:space="preserve">Sat 23 May</t>
  </si>
  <si>
    <t xml:space="preserve">Sun 24 May</t>
  </si>
  <si>
    <t xml:space="preserve">Mon 25 May</t>
  </si>
  <si>
    <t xml:space="preserve">Tue 26 May</t>
  </si>
  <si>
    <t xml:space="preserve">Wed 27 May</t>
  </si>
  <si>
    <t xml:space="preserve">Thu 28 May</t>
  </si>
  <si>
    <t xml:space="preserve">Fri 29 May</t>
  </si>
  <si>
    <t xml:space="preserve">Sat 30 May</t>
  </si>
  <si>
    <t xml:space="preserve">Sun 31 May</t>
  </si>
  <si>
    <t xml:space="preserve">Mon 01 Jun</t>
  </si>
  <si>
    <t xml:space="preserve">Tue 02 Jun</t>
  </si>
  <si>
    <t xml:space="preserve">Wed 03 Jun</t>
  </si>
  <si>
    <t xml:space="preserve">Thu 04 Jun</t>
  </si>
  <si>
    <t xml:space="preserve">Fri 05 Jun</t>
  </si>
  <si>
    <t xml:space="preserve">Sat 06 Jun</t>
  </si>
  <si>
    <t xml:space="preserve">Sun 07 Jun</t>
  </si>
  <si>
    <t xml:space="preserve">Mon 08 Jun</t>
  </si>
  <si>
    <t xml:space="preserve">Tue 09 Jun</t>
  </si>
  <si>
    <t xml:space="preserve">TOTAL (last 30 days)</t>
  </si>
  <si>
    <t xml:space="preserve">Content Calendar — 12-week view</t>
  </si>
  <si>
    <t xml:space="preserve">5 LinkedIn posts/wk from Thomas (Mon-Fri) + 1 blog post/2 weeks. Update Status as you go.</t>
  </si>
  <si>
    <t xml:space="preserve">Type</t>
  </si>
  <si>
    <t xml:space="preserve">Topic / Title</t>
  </si>
  <si>
    <t xml:space="preserve">Hook line</t>
  </si>
  <si>
    <t xml:space="preserve">LinkedIn</t>
  </si>
  <si>
    <t xml:space="preserve">Insight (number-led)</t>
  </si>
  <si>
    <t xml:space="preserve">(plan Mon AM)</t>
  </si>
  <si>
    <t xml:space="preserve">(hook here)</t>
  </si>
  <si>
    <t xml:space="preserve">Planned</t>
  </si>
  <si>
    <t xml:space="preserve">Story (real customer/prospect)</t>
  </si>
  <si>
    <t xml:space="preserve">Contrarian (push back on common take)</t>
  </si>
  <si>
    <t xml:space="preserve">Tactical (framework / how-to)</t>
  </si>
  <si>
    <t xml:space="preserve">Reflective (founder vulnerable)</t>
  </si>
  <si>
    <t xml:space="preserve">Blog</t>
  </si>
  <si>
    <t xml:space="preserve">Pillar / Comparison</t>
  </si>
  <si>
    <t xml:space="preserve">(see Doc 04 § 9 roadmap)</t>
  </si>
  <si>
    <t xml:space="preserve">SEO Cannibalisation Tracker</t>
  </si>
  <si>
    <t xml:space="preserve">11 issues from Doc 04 Section 2. Mark each one through To-Do → In Progress → Resolved. Re-audit quarterly to prevent recurrence.</t>
  </si>
  <si>
    <t xml:space="preserve">#</t>
  </si>
  <si>
    <t xml:space="preserve">Keyword cluster</t>
  </si>
  <si>
    <t xml:space="preserve">URL A</t>
  </si>
  <si>
    <t xml:space="preserve">URL B (and C)</t>
  </si>
  <si>
    <t xml:space="preserve">Action</t>
  </si>
  <si>
    <t xml:space="preserve">Target date</t>
  </si>
  <si>
    <t xml:space="preserve">Resolved date</t>
  </si>
  <si>
    <t xml:space="preserve">client onboarding process</t>
  </si>
  <si>
    <t xml:space="preserve">/client-onboarding-process</t>
  </si>
  <si>
    <t xml:space="preserve">/blog/client-onboarding-process</t>
  </si>
  <si>
    <t xml:space="preserve">301 page→/client-onboarding-software; keep blog</t>
  </si>
  <si>
    <t xml:space="preserve">To Do</t>
  </si>
  <si>
    <t xml:space="preserve">16 May 2026</t>
  </si>
  <si>
    <t xml:space="preserve">client onboarding automation</t>
  </si>
  <si>
    <t xml:space="preserve">/client-onboarding-automation</t>
  </si>
  <si>
    <t xml:space="preserve">/blog/client-onboarding-automation</t>
  </si>
  <si>
    <t xml:space="preserve">Keep main; rewrite blog as how-to</t>
  </si>
  <si>
    <t xml:space="preserve">23 May 2026</t>
  </si>
  <si>
    <t xml:space="preserve">client onboarding workflow</t>
  </si>
  <si>
    <t xml:space="preserve">/onboarding-workflow-software</t>
  </si>
  <si>
    <t xml:space="preserve">/blog/client-onboarding-workflow</t>
  </si>
  <si>
    <t xml:space="preserve">Keep both; split intent + cross-link</t>
  </si>
  <si>
    <t xml:space="preserve">client onboarding checklist</t>
  </si>
  <si>
    <t xml:space="preserve">/client-onboarding-checklist</t>
  </si>
  <si>
    <t xml:space="preserve">/blog/client-onboarding-checklist-template + /downloads</t>
  </si>
  <si>
    <t xml:space="preserve">301 blog→pillar; keep download as gate</t>
  </si>
  <si>
    <t xml:space="preserve">best client onboarding software</t>
  </si>
  <si>
    <t xml:space="preserve">/best-client-onboarding-software</t>
  </si>
  <si>
    <t xml:space="preserve">/blog/best-client-onboarding-software-2026</t>
  </si>
  <si>
    <t xml:space="preserve">Rewrite main as evaluation guide; keep blog</t>
  </si>
  <si>
    <t xml:space="preserve">30 May 2026</t>
  </si>
  <si>
    <t xml:space="preserve">honeybook alternative</t>
  </si>
  <si>
    <t xml:space="preserve">/honeybook-alternative</t>
  </si>
  <si>
    <t xml:space="preserve">/blog/honeybook-alternatives</t>
  </si>
  <si>
    <t xml:space="preserve">301 blog → main</t>
  </si>
  <si>
    <t xml:space="preserve">fleet account onboarding (URGENT)</t>
  </si>
  <si>
    <t xml:space="preserve">/fleet-account-onboarding (LOST)</t>
  </si>
  <si>
    <t xml:space="preserve">/blog/fleet-account-onboarding (#1)</t>
  </si>
  <si>
    <t xml:space="preserve">Rewrite + canonical fix THIS WEEK</t>
  </si>
  <si>
    <t xml:space="preserve">🔥 URGENT</t>
  </si>
  <si>
    <t xml:space="preserve">agencies + agency variants</t>
  </si>
  <si>
    <t xml:space="preserve">/agencies</t>
  </si>
  <si>
    <t xml:space="preserve">/client-onboarding-software-for-agencies + broken /onboarding-for-agencies link</t>
  </si>
  <si>
    <t xml:space="preserve">/agencies = canonical; fix homepage broken link</t>
  </si>
  <si>
    <t xml:space="preserve">consultants vertical</t>
  </si>
  <si>
    <t xml:space="preserve">/consultants</t>
  </si>
  <si>
    <t xml:space="preserve">/onboarding-for-consultants</t>
  </si>
  <si>
    <t xml:space="preserve">301 redirect</t>
  </si>
  <si>
    <t xml:space="preserve">accountants vertical</t>
  </si>
  <si>
    <t xml:space="preserve">/accountants</t>
  </si>
  <si>
    <t xml:space="preserve">/onboarding-for-accountants</t>
  </si>
  <si>
    <t xml:space="preserve">client intake software</t>
  </si>
  <si>
    <t xml:space="preserve">/client-intake-software</t>
  </si>
  <si>
    <t xml:space="preserve">/client-intake-and-onboarding-software (and commercial separate)</t>
  </si>
  <si>
    <t xml:space="preserve">301 redirect; keep commercial as distinct</t>
  </si>
  <si>
    <t xml:space="preserve">QUARTERLY AUDIT (do first Mon of each quarter)</t>
  </si>
  <si>
    <t xml:space="preserve">Audit date</t>
  </si>
  <si>
    <t xml:space="preserve">New cannibalisations found</t>
  </si>
  <si>
    <t xml:space="preserve">Resolved this quarter</t>
  </si>
  <si>
    <t xml:space="preserve">Action items</t>
  </si>
  <si>
    <t xml:space="preserve">Path to £10,000 MRR — month by month</t>
  </si>
  <si>
    <t xml:space="preserve">Targets from Doc 01 Section 13. Update 'Actual' columns at end of each month. Variance auto-calculates.</t>
  </si>
  <si>
    <t xml:space="preserve">Month</t>
  </si>
  <si>
    <t xml:space="preserve">Target net new paid</t>
  </si>
  <si>
    <t xml:space="preserve">Target cumulative</t>
  </si>
  <si>
    <t xml:space="preserve">Target MRR (£)</t>
  </si>
  <si>
    <t xml:space="preserve">Actual net new</t>
  </si>
  <si>
    <t xml:space="preserve">Actual cumulative</t>
  </si>
  <si>
    <t xml:space="preserve">Actual MRR (£)</t>
  </si>
  <si>
    <t xml:space="preserve">Variance MRR</t>
  </si>
  <si>
    <t xml:space="preserve">M1 — May 2026</t>
  </si>
  <si>
    <t xml:space="preserve">M2 — Jun 2026</t>
  </si>
  <si>
    <t xml:space="preserve">M3 — Jul 2026</t>
  </si>
  <si>
    <t xml:space="preserve">M4 — Aug 2026</t>
  </si>
  <si>
    <t xml:space="preserve">M5 — Sep 2026</t>
  </si>
  <si>
    <t xml:space="preserve">M6 — Oct 2026</t>
  </si>
  <si>
    <t xml:space="preserve">M7 — Nov 2026</t>
  </si>
  <si>
    <t xml:space="preserve">M8 — Dec 2026</t>
  </si>
  <si>
    <t xml:space="preserve">M9 — Jan 2027</t>
  </si>
  <si>
    <t xml:space="preserve">MIX AT TARGET (M7 = £10k MRR)</t>
  </si>
  <si>
    <t xml:space="preserve">Plan</t>
  </si>
  <si>
    <t xml:space="preserve">Customers</t>
  </si>
  <si>
    <t xml:space="preserve">GBP/month each</t>
  </si>
  <si>
    <t xml:space="preserve">MRR contribution</t>
  </si>
  <si>
    <t xml:space="preserve">Team</t>
  </si>
  <si>
    <t xml:space="preserve">Scale</t>
  </si>
  <si>
    <t xml:space="preserve">Agency Pro</t>
  </si>
  <si>
    <t xml:space="preserve">Global Suppression List</t>
  </si>
  <si>
    <t xml:space="preserve">GDPR + CAN-SPAM required. ANY email here must be removed from ALL Instantly campaigns and ALL future imports across BOTH domains. Process additions within 24 hours of opt-out request. NEVER email anyone on this list again.</t>
  </si>
  <si>
    <t xml:space="preserve">Email</t>
  </si>
  <si>
    <t xml:space="preserve">Reason</t>
  </si>
  <si>
    <t xml:space="preserve">Source (which sequence)</t>
  </si>
  <si>
    <t xml:space="preserve">Marked in Instantly?</t>
  </si>
  <si>
    <t xml:space="preserve">Weekly Review — Friday 5pm</t>
  </si>
  <si>
    <t xml:space="preserve">30-min ritual every Friday. Don't skip. The compounding effect of weekly reviews is the difference between a marketing program that improves and one that drifts.</t>
  </si>
  <si>
    <t xml:space="preserve">WEEK OF (Mon date):</t>
  </si>
  <si>
    <t xml:space="preserve">1. THE NUMBERS (pull from KPI Dashboard)</t>
  </si>
  <si>
    <t xml:space="preserve">This week</t>
  </si>
  <si>
    <t xml:space="preserve">Last week</t>
  </si>
  <si>
    <t xml:space="preserve">Change</t>
  </si>
  <si>
    <t xml:space="preserve">On track?</t>
  </si>
  <si>
    <t xml:space="preserve">LinkedIn comments</t>
  </si>
  <si>
    <t xml:space="preserve">Net new paying customers</t>
  </si>
  <si>
    <t xml:space="preserve">2. WINS (3 things)</t>
  </si>
  <si>
    <t xml:space="preserve">Win 1:</t>
  </si>
  <si>
    <t xml:space="preserve">Win 2:</t>
  </si>
  <si>
    <t xml:space="preserve">Win 3:</t>
  </si>
  <si>
    <t xml:space="preserve">3. LOSSES / WHAT WENT WRONG (3 things)</t>
  </si>
  <si>
    <t xml:space="preserve">Loss 1:</t>
  </si>
  <si>
    <t xml:space="preserve">Loss 2:</t>
  </si>
  <si>
    <t xml:space="preserve">Loss 3:</t>
  </si>
  <si>
    <t xml:space="preserve">4. ONE EXPERIMENT FOR NEXT WEEK</t>
  </si>
  <si>
    <t xml:space="preserve">Hypothesis:</t>
  </si>
  <si>
    <t xml:space="preserve">How to measure:</t>
  </si>
  <si>
    <t xml:space="preserve">Decision rule:</t>
  </si>
  <si>
    <t xml:space="preserve">5. TOP-OF-MIND PROSPECTS (next week's focus)</t>
  </si>
  <si>
    <t xml:space="preserve">Next action</t>
  </si>
  <si>
    <t xml:space="preserve">Why this matters</t>
  </si>
  <si>
    <t xml:space="preserve">6. ANY CHANGES NEEDED TO THE PLAN?</t>
  </si>
  <si>
    <t xml:space="preserve">If a number/strategy needs to change in Doc 01–05, write it here.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</si>
</sst>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  <fill>
      <patternFill patternType="solid">
        <fgColor rgb="FFFFFFE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F9F9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8" min="3" style="0" width="12"/>
  </cols>
  <sheetData>
    <row r="1" customFormat="false" ht="22.05" hidden="false" customHeight="false" outlineLevel="0" collapsed="false">
      <c r="A1" s="1" t="s">
        <v>0</v>
      </c>
    </row>
    <row r="3" customFormat="false" ht="36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2</v>
      </c>
    </row>
    <row r="6" customFormat="false" ht="31.5" hidden="false" customHeight="tru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5" t="s">
        <v>10</v>
      </c>
    </row>
    <row r="10" customFormat="false" ht="15" hidden="false" customHeight="false" outlineLevel="0" collapsed="false">
      <c r="A10" s="6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5" t="s">
        <v>14</v>
      </c>
    </row>
    <row r="12" customFormat="false" ht="15" hidden="false" customHeight="false" outlineLevel="0" collapsed="false">
      <c r="A12" s="6" t="s">
        <v>15</v>
      </c>
      <c r="B12" s="6" t="s">
        <v>16</v>
      </c>
    </row>
    <row r="15" customFormat="false" ht="17.35" hidden="false" customHeight="false" outlineLevel="0" collapsed="false">
      <c r="A15" s="3" t="s">
        <v>17</v>
      </c>
    </row>
    <row r="16" customFormat="false" ht="31.5" hidden="false" customHeight="true" outlineLevel="0" collapsed="false">
      <c r="A16" s="4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5" t="s">
        <v>21</v>
      </c>
    </row>
    <row r="18" customFormat="false" ht="15" hidden="false" customHeight="false" outlineLevel="0" collapsed="false">
      <c r="A18" s="6" t="s">
        <v>22</v>
      </c>
      <c r="B18" s="6" t="s">
        <v>23</v>
      </c>
    </row>
    <row r="19" customFormat="false" ht="26.85" hidden="false" customHeight="false" outlineLevel="0" collapsed="false">
      <c r="A19" s="5" t="s">
        <v>24</v>
      </c>
      <c r="B19" s="5" t="s">
        <v>25</v>
      </c>
    </row>
    <row r="20" customFormat="false" ht="26.85" hidden="false" customHeight="false" outlineLevel="0" collapsed="false">
      <c r="A20" s="6" t="s">
        <v>26</v>
      </c>
      <c r="B20" s="6" t="s">
        <v>27</v>
      </c>
    </row>
    <row r="21" customFormat="false" ht="26.85" hidden="false" customHeight="false" outlineLevel="0" collapsed="false">
      <c r="A21" s="5" t="s">
        <v>28</v>
      </c>
      <c r="B21" s="5" t="s">
        <v>29</v>
      </c>
    </row>
    <row r="22" customFormat="false" ht="15" hidden="false" customHeight="false" outlineLevel="0" collapsed="false">
      <c r="A22" s="6" t="s">
        <v>30</v>
      </c>
      <c r="B22" s="6" t="s">
        <v>31</v>
      </c>
    </row>
    <row r="23" customFormat="false" ht="15" hidden="false" customHeight="false" outlineLevel="0" collapsed="false">
      <c r="A23" s="5" t="s">
        <v>32</v>
      </c>
      <c r="B23" s="5" t="s">
        <v>33</v>
      </c>
    </row>
    <row r="24" customFormat="false" ht="15" hidden="false" customHeight="false" outlineLevel="0" collapsed="false">
      <c r="A24" s="6" t="s">
        <v>34</v>
      </c>
      <c r="B24" s="6" t="s">
        <v>35</v>
      </c>
    </row>
    <row r="25" customFormat="false" ht="15" hidden="false" customHeight="false" outlineLevel="0" collapsed="false">
      <c r="A25" s="5" t="s">
        <v>36</v>
      </c>
      <c r="B25" s="5" t="s">
        <v>37</v>
      </c>
    </row>
    <row r="26" customFormat="false" ht="15" hidden="false" customHeight="false" outlineLevel="0" collapsed="false">
      <c r="A26" s="6" t="s">
        <v>38</v>
      </c>
      <c r="B26" s="6" t="s">
        <v>39</v>
      </c>
    </row>
    <row r="27" customFormat="false" ht="15" hidden="false" customHeight="false" outlineLevel="0" collapsed="false">
      <c r="A27" s="5" t="s">
        <v>40</v>
      </c>
      <c r="B27" s="5" t="s">
        <v>41</v>
      </c>
    </row>
    <row r="28" customFormat="false" ht="15" hidden="false" customHeight="false" outlineLevel="0" collapsed="false">
      <c r="A28" s="6" t="s">
        <v>42</v>
      </c>
      <c r="B28" s="6" t="s">
        <v>43</v>
      </c>
    </row>
    <row r="31" customFormat="false" ht="17.35" hidden="false" customHeight="false" outlineLevel="0" collapsed="false">
      <c r="A31" s="3" t="s">
        <v>44</v>
      </c>
    </row>
    <row r="32" customFormat="false" ht="15" hidden="false" customHeight="false" outlineLevel="0" collapsed="false">
      <c r="A32" s="7" t="s">
        <v>45</v>
      </c>
      <c r="B32" s="7"/>
      <c r="C32" s="7"/>
      <c r="D32" s="7"/>
      <c r="E32" s="7"/>
    </row>
    <row r="33" customFormat="false" ht="15" hidden="false" customHeight="false" outlineLevel="0" collapsed="false">
      <c r="A33" s="7" t="s">
        <v>46</v>
      </c>
      <c r="B33" s="7"/>
      <c r="C33" s="7"/>
      <c r="D33" s="7"/>
      <c r="E33" s="7"/>
    </row>
    <row r="34" customFormat="false" ht="15" hidden="false" customHeight="false" outlineLevel="0" collapsed="false">
      <c r="A34" s="7" t="s">
        <v>47</v>
      </c>
      <c r="B34" s="7"/>
      <c r="C34" s="7"/>
      <c r="D34" s="7"/>
      <c r="E34" s="7"/>
    </row>
    <row r="35" customFormat="false" ht="15" hidden="false" customHeight="false" outlineLevel="0" collapsed="false">
      <c r="A35" s="7" t="s">
        <v>48</v>
      </c>
      <c r="B35" s="7"/>
      <c r="C35" s="7"/>
      <c r="D35" s="7"/>
      <c r="E35" s="7"/>
    </row>
    <row r="37" customFormat="false" ht="17.35" hidden="false" customHeight="false" outlineLevel="0" collapsed="false">
      <c r="A37" s="3" t="s">
        <v>49</v>
      </c>
    </row>
    <row r="38" customFormat="false" ht="15" hidden="false" customHeight="false" outlineLevel="0" collapsed="false">
      <c r="A38" s="7" t="s">
        <v>50</v>
      </c>
      <c r="B38" s="7"/>
      <c r="C38" s="7"/>
      <c r="D38" s="7"/>
      <c r="E38" s="7"/>
    </row>
    <row r="39" customFormat="false" ht="15" hidden="false" customHeight="false" outlineLevel="0" collapsed="false">
      <c r="A39" s="7" t="s">
        <v>51</v>
      </c>
      <c r="B39" s="7"/>
      <c r="C39" s="7"/>
      <c r="D39" s="7"/>
      <c r="E39" s="7"/>
    </row>
    <row r="40" customFormat="false" ht="15" hidden="false" customHeight="false" outlineLevel="0" collapsed="false">
      <c r="A40" s="7" t="s">
        <v>52</v>
      </c>
      <c r="B40" s="7"/>
      <c r="C40" s="7"/>
      <c r="D40" s="7"/>
      <c r="E40" s="7"/>
    </row>
    <row r="41" customFormat="false" ht="15" hidden="false" customHeight="false" outlineLevel="0" collapsed="false">
      <c r="A41" s="7" t="s">
        <v>53</v>
      </c>
      <c r="B41" s="7"/>
      <c r="C41" s="7"/>
      <c r="D41" s="7"/>
      <c r="E41" s="7"/>
    </row>
    <row r="42" customFormat="false" ht="15" hidden="false" customHeight="false" outlineLevel="0" collapsed="false">
      <c r="A42" s="7" t="s">
        <v>54</v>
      </c>
      <c r="B42" s="7"/>
      <c r="C42" s="7"/>
      <c r="D42" s="7"/>
      <c r="E42" s="7"/>
    </row>
  </sheetData>
  <mergeCells count="10">
    <mergeCell ref="A3:H3"/>
    <mergeCell ref="A32:E32"/>
    <mergeCell ref="A33:E33"/>
    <mergeCell ref="A34:E34"/>
    <mergeCell ref="A35:E35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2.05" hidden="false" customHeight="false" outlineLevel="0" collapsed="false">
      <c r="A1" s="1" t="s">
        <v>55</v>
      </c>
    </row>
    <row r="3" customFormat="false" ht="36" hidden="false" customHeight="true" outlineLevel="0" collapsed="false">
      <c r="A3" s="2" t="s">
        <v>56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57</v>
      </c>
    </row>
    <row r="6" customFormat="false" ht="31.5" hidden="false" customHeight="true" outlineLevel="0" collapsed="false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</row>
    <row r="7" customFormat="false" ht="15" hidden="false" customHeight="false" outlineLevel="0" collapsed="false">
      <c r="A7" s="5" t="s">
        <v>65</v>
      </c>
      <c r="B7" s="8" t="n">
        <v>0</v>
      </c>
      <c r="C7" s="8" t="n">
        <v>0</v>
      </c>
      <c r="D7" s="8" t="n">
        <v>0</v>
      </c>
      <c r="E7" s="9" t="n">
        <f aca="false">C7-D7</f>
        <v>0</v>
      </c>
      <c r="F7" s="8" t="n">
        <v>2640</v>
      </c>
      <c r="G7" s="9" t="str">
        <f aca="false">IF(B7&lt;5,"⛔",IF(B7&lt;15,"⚠️","✅"))</f>
        <v>⛔</v>
      </c>
    </row>
    <row r="8" customFormat="false" ht="15" hidden="false" customHeight="false" outlineLevel="0" collapsed="false">
      <c r="A8" s="6" t="s">
        <v>66</v>
      </c>
      <c r="B8" s="10" t="n">
        <v>0</v>
      </c>
      <c r="C8" s="10" t="n">
        <v>0</v>
      </c>
      <c r="D8" s="10" t="n">
        <v>0</v>
      </c>
      <c r="E8" s="11" t="n">
        <f aca="false">C8-D8</f>
        <v>0</v>
      </c>
      <c r="F8" s="10" t="n">
        <v>42</v>
      </c>
      <c r="G8" s="11"/>
    </row>
    <row r="9" customFormat="false" ht="15" hidden="false" customHeight="false" outlineLevel="0" collapsed="false">
      <c r="A9" s="5" t="s">
        <v>67</v>
      </c>
      <c r="B9" s="8" t="n">
        <v>0</v>
      </c>
      <c r="C9" s="8" t="n">
        <v>0</v>
      </c>
      <c r="D9" s="8" t="n">
        <v>0</v>
      </c>
      <c r="E9" s="9" t="n">
        <f aca="false">C9-D9</f>
        <v>0</v>
      </c>
      <c r="F9" s="8" t="n">
        <v>17</v>
      </c>
      <c r="G9" s="9"/>
    </row>
    <row r="10" customFormat="false" ht="15" hidden="false" customHeight="false" outlineLevel="0" collapsed="false">
      <c r="A10" s="6" t="s">
        <v>68</v>
      </c>
      <c r="B10" s="10" t="n">
        <v>0</v>
      </c>
      <c r="C10" s="10" t="n">
        <v>0</v>
      </c>
      <c r="D10" s="10" t="n">
        <v>0</v>
      </c>
      <c r="E10" s="11" t="n">
        <f aca="false">C10-D10</f>
        <v>0</v>
      </c>
      <c r="F10" s="10" t="n">
        <v>200</v>
      </c>
      <c r="G10" s="11"/>
    </row>
    <row r="11" customFormat="false" ht="15" hidden="false" customHeight="false" outlineLevel="0" collapsed="false">
      <c r="A11" s="5" t="s">
        <v>69</v>
      </c>
      <c r="B11" s="8" t="n">
        <v>0</v>
      </c>
      <c r="C11" s="8" t="n">
        <v>0</v>
      </c>
      <c r="D11" s="8" t="n">
        <v>0</v>
      </c>
      <c r="E11" s="9" t="n">
        <f aca="false">C11-D11</f>
        <v>0</v>
      </c>
      <c r="F11" s="8" t="n">
        <v>80</v>
      </c>
      <c r="G11" s="9"/>
    </row>
    <row r="12" customFormat="false" ht="15" hidden="false" customHeight="false" outlineLevel="0" collapsed="false">
      <c r="A12" s="6" t="s">
        <v>70</v>
      </c>
      <c r="B12" s="10" t="n">
        <v>0</v>
      </c>
      <c r="C12" s="10" t="n">
        <v>0</v>
      </c>
      <c r="D12" s="10" t="n">
        <v>0</v>
      </c>
      <c r="E12" s="11" t="n">
        <f aca="false">C12-D12</f>
        <v>0</v>
      </c>
      <c r="F12" s="10" t="n">
        <v>80</v>
      </c>
      <c r="G12" s="11"/>
    </row>
    <row r="13" customFormat="false" ht="15" hidden="false" customHeight="false" outlineLevel="0" collapsed="false">
      <c r="A13" s="5" t="s">
        <v>71</v>
      </c>
      <c r="B13" s="8" t="n">
        <v>0</v>
      </c>
      <c r="C13" s="8" t="n">
        <v>0</v>
      </c>
      <c r="D13" s="8" t="n">
        <v>0</v>
      </c>
      <c r="E13" s="9" t="n">
        <f aca="false">C13-D13</f>
        <v>0</v>
      </c>
      <c r="F13" s="8" t="n">
        <v>12</v>
      </c>
      <c r="G13" s="9"/>
    </row>
    <row r="14" customFormat="false" ht="15" hidden="false" customHeight="false" outlineLevel="0" collapsed="false">
      <c r="A14" s="6" t="s">
        <v>72</v>
      </c>
      <c r="B14" s="10" t="n">
        <v>0</v>
      </c>
      <c r="C14" s="10" t="n">
        <v>0</v>
      </c>
      <c r="D14" s="10" t="n">
        <v>0</v>
      </c>
      <c r="E14" s="11" t="n">
        <f aca="false">C14-D14</f>
        <v>0</v>
      </c>
      <c r="F14" s="10" t="n">
        <v>200</v>
      </c>
      <c r="G14" s="11"/>
    </row>
    <row r="15" customFormat="false" ht="15" hidden="false" customHeight="false" outlineLevel="0" collapsed="false">
      <c r="A15" s="5" t="s">
        <v>73</v>
      </c>
      <c r="B15" s="8" t="n">
        <v>0</v>
      </c>
      <c r="C15" s="8" t="n">
        <v>0</v>
      </c>
      <c r="D15" s="8" t="n">
        <v>0</v>
      </c>
      <c r="E15" s="9" t="n">
        <f aca="false">C15-D15</f>
        <v>0</v>
      </c>
      <c r="F15" s="8" t="n">
        <v>20</v>
      </c>
      <c r="G15" s="9"/>
    </row>
    <row r="16" customFormat="false" ht="15" hidden="false" customHeight="false" outlineLevel="0" collapsed="false">
      <c r="A16" s="6" t="s">
        <v>74</v>
      </c>
      <c r="B16" s="10" t="n">
        <v>0</v>
      </c>
      <c r="C16" s="10" t="n">
        <v>0</v>
      </c>
      <c r="D16" s="10" t="n">
        <v>0</v>
      </c>
      <c r="E16" s="11" t="n">
        <f aca="false">C16-D16</f>
        <v>0</v>
      </c>
      <c r="F16" s="10" t="n">
        <v>40000</v>
      </c>
      <c r="G16" s="11"/>
    </row>
    <row r="17" customFormat="false" ht="15" hidden="false" customHeight="false" outlineLevel="0" collapsed="false">
      <c r="A17" s="5" t="s">
        <v>75</v>
      </c>
      <c r="B17" s="8" t="n">
        <v>0</v>
      </c>
      <c r="C17" s="8" t="n">
        <v>0</v>
      </c>
      <c r="D17" s="8" t="n">
        <v>0</v>
      </c>
      <c r="E17" s="9" t="n">
        <f aca="false">C17-D17</f>
        <v>0</v>
      </c>
      <c r="F17" s="8" t="n">
        <v>6000</v>
      </c>
      <c r="G17" s="9"/>
    </row>
    <row r="20" customFormat="false" ht="17.35" hidden="false" customHeight="false" outlineLevel="0" collapsed="false">
      <c r="A20" s="3" t="s">
        <v>76</v>
      </c>
    </row>
    <row r="21" customFormat="false" ht="31.5" hidden="false" customHeight="true" outlineLevel="0" collapsed="false">
      <c r="A21" s="4" t="s">
        <v>58</v>
      </c>
      <c r="B21" s="4" t="s">
        <v>59</v>
      </c>
      <c r="C21" s="4" t="s">
        <v>60</v>
      </c>
      <c r="D21" s="4" t="s">
        <v>61</v>
      </c>
      <c r="E21" s="4" t="s">
        <v>62</v>
      </c>
      <c r="F21" s="4" t="s">
        <v>63</v>
      </c>
      <c r="G21" s="4" t="s">
        <v>64</v>
      </c>
    </row>
    <row r="22" customFormat="false" ht="15" hidden="false" customHeight="false" outlineLevel="0" collapsed="false">
      <c r="A22" s="5" t="s">
        <v>77</v>
      </c>
      <c r="B22" s="8" t="n">
        <v>0</v>
      </c>
      <c r="C22" s="8" t="n">
        <v>0</v>
      </c>
      <c r="D22" s="8" t="n">
        <v>0</v>
      </c>
      <c r="E22" s="9" t="n">
        <f aca="false">C22-D22</f>
        <v>0</v>
      </c>
      <c r="F22" s="8" t="n">
        <v>12</v>
      </c>
      <c r="G22" s="5"/>
    </row>
    <row r="23" customFormat="false" ht="15" hidden="false" customHeight="false" outlineLevel="0" collapsed="false">
      <c r="A23" s="6" t="s">
        <v>78</v>
      </c>
      <c r="B23" s="10" t="n">
        <v>0</v>
      </c>
      <c r="C23" s="10" t="n">
        <v>0</v>
      </c>
      <c r="D23" s="10" t="n">
        <v>0</v>
      </c>
      <c r="E23" s="11" t="n">
        <f aca="false">C23-D23</f>
        <v>0</v>
      </c>
      <c r="F23" s="10" t="n">
        <v>10</v>
      </c>
      <c r="G23" s="6"/>
    </row>
    <row r="24" customFormat="false" ht="15" hidden="false" customHeight="false" outlineLevel="0" collapsed="false">
      <c r="A24" s="5" t="s">
        <v>79</v>
      </c>
      <c r="B24" s="8" t="n">
        <v>0</v>
      </c>
      <c r="C24" s="8" t="n">
        <v>0</v>
      </c>
      <c r="D24" s="8" t="n">
        <v>0</v>
      </c>
      <c r="E24" s="9" t="n">
        <f aca="false">C24-D24</f>
        <v>0</v>
      </c>
      <c r="F24" s="8" t="n">
        <v>50</v>
      </c>
      <c r="G24" s="5"/>
    </row>
    <row r="25" customFormat="false" ht="15" hidden="false" customHeight="false" outlineLevel="0" collapsed="false">
      <c r="A25" s="6" t="s">
        <v>80</v>
      </c>
      <c r="B25" s="10" t="n">
        <v>0</v>
      </c>
      <c r="C25" s="10" t="n">
        <v>0</v>
      </c>
      <c r="D25" s="10" t="n">
        <v>0</v>
      </c>
      <c r="E25" s="11" t="n">
        <f aca="false">C25-D25</f>
        <v>0</v>
      </c>
      <c r="F25" s="10" t="n">
        <v>0.015</v>
      </c>
      <c r="G25" s="6"/>
    </row>
    <row r="26" customFormat="false" ht="15" hidden="false" customHeight="false" outlineLevel="0" collapsed="false">
      <c r="A26" s="5" t="s">
        <v>81</v>
      </c>
      <c r="B26" s="8" t="n">
        <v>0</v>
      </c>
      <c r="C26" s="8" t="n">
        <v>0</v>
      </c>
      <c r="D26" s="8" t="n">
        <v>0</v>
      </c>
      <c r="E26" s="9" t="n">
        <f aca="false">C26-D26</f>
        <v>0</v>
      </c>
      <c r="F26" s="8" t="n">
        <v>0.2</v>
      </c>
      <c r="G26" s="5"/>
    </row>
    <row r="29" customFormat="false" ht="17.35" hidden="false" customHeight="false" outlineLevel="0" collapsed="false">
      <c r="A29" s="3" t="s">
        <v>82</v>
      </c>
    </row>
    <row r="30" customFormat="false" ht="31.5" hidden="false" customHeight="true" outlineLevel="0" collapsed="false">
      <c r="A30" s="4" t="s">
        <v>58</v>
      </c>
      <c r="B30" s="4" t="s">
        <v>60</v>
      </c>
      <c r="C30" s="4" t="s">
        <v>61</v>
      </c>
      <c r="D30" s="4" t="s">
        <v>83</v>
      </c>
      <c r="E30" s="4" t="s">
        <v>63</v>
      </c>
      <c r="F30" s="4" t="s">
        <v>64</v>
      </c>
    </row>
    <row r="31" customFormat="false" ht="26.85" hidden="false" customHeight="false" outlineLevel="0" collapsed="false">
      <c r="A31" s="5" t="s">
        <v>84</v>
      </c>
      <c r="B31" s="8" t="n">
        <v>0</v>
      </c>
      <c r="C31" s="8" t="n">
        <v>0</v>
      </c>
      <c r="D31" s="9" t="n">
        <f aca="false">B31-C31</f>
        <v>0</v>
      </c>
      <c r="E31" s="8" t="n">
        <v>8</v>
      </c>
      <c r="F31" s="5"/>
    </row>
    <row r="32" customFormat="false" ht="15" hidden="false" customHeight="false" outlineLevel="0" collapsed="false">
      <c r="A32" s="6" t="s">
        <v>85</v>
      </c>
      <c r="B32" s="10" t="n">
        <v>89</v>
      </c>
      <c r="C32" s="10" t="n">
        <v>89</v>
      </c>
      <c r="D32" s="11" t="n">
        <f aca="false">B32-C32</f>
        <v>0</v>
      </c>
      <c r="E32" s="10" t="n">
        <v>1200</v>
      </c>
      <c r="F32" s="6"/>
    </row>
    <row r="33" customFormat="false" ht="15" hidden="false" customHeight="false" outlineLevel="0" collapsed="false">
      <c r="A33" s="5" t="s">
        <v>86</v>
      </c>
      <c r="B33" s="8" t="n">
        <v>0</v>
      </c>
      <c r="C33" s="8" t="n">
        <v>0</v>
      </c>
      <c r="D33" s="9" t="n">
        <f aca="false">B33-C33</f>
        <v>0</v>
      </c>
      <c r="E33" s="8" t="n">
        <v>0.05</v>
      </c>
      <c r="F33" s="5"/>
    </row>
    <row r="34" customFormat="false" ht="15" hidden="false" customHeight="false" outlineLevel="0" collapsed="false">
      <c r="A34" s="6" t="s">
        <v>87</v>
      </c>
      <c r="B34" s="11" t="n">
        <f aca="false">B32/10000</f>
        <v>0.0089</v>
      </c>
      <c r="C34" s="6"/>
      <c r="D34" s="6"/>
      <c r="E34" s="6"/>
      <c r="F34" s="6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5" style="0" width="22"/>
  </cols>
  <sheetData>
    <row r="1" customFormat="false" ht="22.05" hidden="false" customHeight="false" outlineLevel="0" collapsed="false">
      <c r="A1" s="1" t="s">
        <v>88</v>
      </c>
    </row>
    <row r="3" customFormat="false" ht="36" hidden="false" customHeight="true" outlineLevel="0" collapsed="false">
      <c r="A3" s="2" t="s">
        <v>89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90</v>
      </c>
    </row>
    <row r="6" customFormat="false" ht="31.5" hidden="false" customHeight="true" outlineLevel="0" collapsed="false">
      <c r="A6" s="4" t="s">
        <v>91</v>
      </c>
      <c r="B6" s="4" t="s">
        <v>92</v>
      </c>
      <c r="C6" s="4" t="s">
        <v>93</v>
      </c>
      <c r="D6" s="4" t="s">
        <v>64</v>
      </c>
      <c r="E6" s="4" t="s">
        <v>94</v>
      </c>
      <c r="F6" s="4" t="s">
        <v>95</v>
      </c>
    </row>
    <row r="7" customFormat="false" ht="15" hidden="false" customHeight="false" outlineLevel="0" collapsed="false">
      <c r="A7" s="5" t="s">
        <v>96</v>
      </c>
      <c r="B7" s="5" t="s">
        <v>97</v>
      </c>
      <c r="C7" s="5" t="s">
        <v>98</v>
      </c>
      <c r="D7" s="5" t="s">
        <v>99</v>
      </c>
      <c r="E7" s="5" t="s">
        <v>100</v>
      </c>
      <c r="F7" s="5" t="s">
        <v>101</v>
      </c>
    </row>
    <row r="8" customFormat="false" ht="15" hidden="false" customHeight="false" outlineLevel="0" collapsed="false">
      <c r="A8" s="6" t="s">
        <v>96</v>
      </c>
      <c r="B8" s="6" t="s">
        <v>102</v>
      </c>
      <c r="C8" s="6" t="s">
        <v>103</v>
      </c>
      <c r="D8" s="6" t="s">
        <v>104</v>
      </c>
      <c r="E8" s="6" t="s">
        <v>105</v>
      </c>
      <c r="F8" s="6" t="s">
        <v>106</v>
      </c>
    </row>
    <row r="9" customFormat="false" ht="26.85" hidden="false" customHeight="false" outlineLevel="0" collapsed="false">
      <c r="A9" s="5" t="s">
        <v>107</v>
      </c>
      <c r="B9" s="5" t="s">
        <v>108</v>
      </c>
      <c r="C9" s="5" t="s">
        <v>103</v>
      </c>
      <c r="D9" s="5" t="s">
        <v>104</v>
      </c>
      <c r="E9" s="5" t="s">
        <v>105</v>
      </c>
      <c r="F9" s="5" t="s">
        <v>106</v>
      </c>
    </row>
    <row r="10" customFormat="false" ht="15" hidden="false" customHeight="false" outlineLevel="0" collapsed="false">
      <c r="A10" s="6" t="s">
        <v>107</v>
      </c>
      <c r="B10" s="6" t="s">
        <v>109</v>
      </c>
      <c r="C10" s="6" t="s">
        <v>103</v>
      </c>
      <c r="D10" s="6" t="s">
        <v>104</v>
      </c>
      <c r="E10" s="6" t="s">
        <v>105</v>
      </c>
      <c r="F10" s="6" t="s">
        <v>106</v>
      </c>
    </row>
    <row r="13" customFormat="false" ht="17.35" hidden="false" customHeight="false" outlineLevel="0" collapsed="false">
      <c r="A13" s="3" t="s">
        <v>110</v>
      </c>
    </row>
    <row r="14" customFormat="false" ht="31.5" hidden="false" customHeight="true" outlineLevel="0" collapsed="false">
      <c r="A14" s="4" t="s">
        <v>111</v>
      </c>
      <c r="B14" s="4" t="s">
        <v>112</v>
      </c>
      <c r="C14" s="4" t="s">
        <v>113</v>
      </c>
      <c r="D14" s="4" t="s">
        <v>114</v>
      </c>
      <c r="E14" s="4" t="s">
        <v>115</v>
      </c>
    </row>
    <row r="15" customFormat="false" ht="15" hidden="false" customHeight="false" outlineLevel="0" collapsed="false">
      <c r="A15" s="5" t="s">
        <v>116</v>
      </c>
      <c r="B15" s="5" t="n">
        <v>10</v>
      </c>
      <c r="C15" s="5" t="n">
        <v>15</v>
      </c>
      <c r="D15" s="9" t="n">
        <f aca="false">B15+C15</f>
        <v>25</v>
      </c>
      <c r="E15" s="5" t="s">
        <v>117</v>
      </c>
    </row>
    <row r="16" customFormat="false" ht="15" hidden="false" customHeight="false" outlineLevel="0" collapsed="false">
      <c r="A16" s="6" t="s">
        <v>118</v>
      </c>
      <c r="B16" s="6" t="n">
        <v>15</v>
      </c>
      <c r="C16" s="6" t="n">
        <v>12</v>
      </c>
      <c r="D16" s="11" t="n">
        <f aca="false">B16+C16</f>
        <v>27</v>
      </c>
      <c r="E16" s="6" t="s">
        <v>119</v>
      </c>
    </row>
    <row r="17" customFormat="false" ht="15" hidden="false" customHeight="false" outlineLevel="0" collapsed="false">
      <c r="A17" s="5" t="s">
        <v>120</v>
      </c>
      <c r="B17" s="5" t="n">
        <v>20</v>
      </c>
      <c r="C17" s="5" t="n">
        <v>10</v>
      </c>
      <c r="D17" s="9" t="n">
        <f aca="false">B17+C17</f>
        <v>30</v>
      </c>
      <c r="E17" s="5" t="s">
        <v>121</v>
      </c>
    </row>
    <row r="18" customFormat="false" ht="15" hidden="false" customHeight="false" outlineLevel="0" collapsed="false">
      <c r="A18" s="6" t="s">
        <v>122</v>
      </c>
      <c r="B18" s="6" t="n">
        <v>25</v>
      </c>
      <c r="C18" s="6" t="n">
        <v>8</v>
      </c>
      <c r="D18" s="11" t="n">
        <f aca="false">B18+C18</f>
        <v>33</v>
      </c>
      <c r="E18" s="6" t="s">
        <v>123</v>
      </c>
    </row>
    <row r="19" customFormat="false" ht="26.85" hidden="false" customHeight="false" outlineLevel="0" collapsed="false">
      <c r="A19" s="5" t="s">
        <v>124</v>
      </c>
      <c r="B19" s="5" t="n">
        <v>30</v>
      </c>
      <c r="C19" s="5" t="n">
        <v>5</v>
      </c>
      <c r="D19" s="9" t="n">
        <f aca="false">B19+C19</f>
        <v>35</v>
      </c>
      <c r="E19" s="5" t="s">
        <v>125</v>
      </c>
    </row>
    <row r="22" customFormat="false" ht="17.35" hidden="false" customHeight="false" outlineLevel="0" collapsed="false">
      <c r="A22" s="3" t="s">
        <v>126</v>
      </c>
    </row>
    <row r="23" customFormat="false" ht="31.5" hidden="false" customHeight="true" outlineLevel="0" collapsed="false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115</v>
      </c>
    </row>
    <row r="24" customFormat="false" ht="26.85" hidden="false" customHeight="false" outlineLevel="0" collapsed="false">
      <c r="A24" s="5" t="s">
        <v>127</v>
      </c>
      <c r="B24" s="5" t="n">
        <v>0</v>
      </c>
      <c r="C24" s="5" t="s">
        <v>128</v>
      </c>
      <c r="D24" s="9" t="s">
        <v>129</v>
      </c>
      <c r="E24" s="5" t="s">
        <v>130</v>
      </c>
    </row>
    <row r="25" customFormat="false" ht="15" hidden="false" customHeight="false" outlineLevel="0" collapsed="false">
      <c r="A25" s="6" t="s">
        <v>120</v>
      </c>
      <c r="B25" s="6" t="n">
        <v>10</v>
      </c>
      <c r="C25" s="6" t="n">
        <v>15</v>
      </c>
      <c r="D25" s="11" t="n">
        <f aca="false">B25+C25</f>
        <v>25</v>
      </c>
      <c r="E25" s="6" t="s">
        <v>117</v>
      </c>
    </row>
    <row r="26" customFormat="false" ht="15" hidden="false" customHeight="false" outlineLevel="0" collapsed="false">
      <c r="A26" s="5" t="s">
        <v>122</v>
      </c>
      <c r="B26" s="5" t="n">
        <v>15</v>
      </c>
      <c r="C26" s="5" t="n">
        <v>12</v>
      </c>
      <c r="D26" s="9" t="n">
        <f aca="false">B26+C26</f>
        <v>27</v>
      </c>
      <c r="E26" s="5" t="s">
        <v>119</v>
      </c>
    </row>
    <row r="27" customFormat="false" ht="15" hidden="false" customHeight="false" outlineLevel="0" collapsed="false">
      <c r="A27" s="6" t="s">
        <v>131</v>
      </c>
      <c r="B27" s="6" t="n">
        <v>20</v>
      </c>
      <c r="C27" s="6" t="n">
        <v>10</v>
      </c>
      <c r="D27" s="11" t="n">
        <f aca="false">B27+C27</f>
        <v>30</v>
      </c>
      <c r="E27" s="6" t="s">
        <v>121</v>
      </c>
    </row>
    <row r="28" customFormat="false" ht="15" hidden="false" customHeight="false" outlineLevel="0" collapsed="false">
      <c r="A28" s="5" t="s">
        <v>132</v>
      </c>
      <c r="B28" s="5" t="n">
        <v>25</v>
      </c>
      <c r="C28" s="5" t="n">
        <v>8</v>
      </c>
      <c r="D28" s="9" t="n">
        <f aca="false">B28+C28</f>
        <v>33</v>
      </c>
      <c r="E28" s="5" t="s">
        <v>123</v>
      </c>
    </row>
    <row r="29" customFormat="false" ht="26.85" hidden="false" customHeight="false" outlineLevel="0" collapsed="false">
      <c r="A29" s="6" t="s">
        <v>133</v>
      </c>
      <c r="B29" s="6" t="n">
        <v>30</v>
      </c>
      <c r="C29" s="6" t="n">
        <v>5</v>
      </c>
      <c r="D29" s="11" t="n">
        <f aca="false">B29+C29</f>
        <v>35</v>
      </c>
      <c r="E29" s="6" t="s">
        <v>125</v>
      </c>
    </row>
    <row r="32" customFormat="false" ht="17.35" hidden="false" customHeight="false" outlineLevel="0" collapsed="false">
      <c r="A32" s="3" t="s">
        <v>134</v>
      </c>
    </row>
    <row r="33" customFormat="false" ht="31.5" hidden="false" customHeight="true" outlineLevel="0" collapsed="false">
      <c r="A33" s="4" t="s">
        <v>92</v>
      </c>
      <c r="B33" s="4" t="s">
        <v>112</v>
      </c>
      <c r="C33" s="4" t="s">
        <v>113</v>
      </c>
      <c r="D33" s="4" t="s">
        <v>135</v>
      </c>
    </row>
    <row r="34" customFormat="false" ht="26.85" hidden="false" customHeight="false" outlineLevel="0" collapsed="false">
      <c r="A34" s="5" t="s">
        <v>97</v>
      </c>
      <c r="B34" s="5" t="n">
        <v>30</v>
      </c>
      <c r="C34" s="5" t="n">
        <v>5</v>
      </c>
      <c r="D34" s="5" t="s">
        <v>136</v>
      </c>
    </row>
    <row r="35" customFormat="false" ht="26.85" hidden="false" customHeight="false" outlineLevel="0" collapsed="false">
      <c r="A35" s="6" t="s">
        <v>102</v>
      </c>
      <c r="B35" s="6" t="n">
        <v>30</v>
      </c>
      <c r="C35" s="6" t="n">
        <v>5</v>
      </c>
      <c r="D35" s="6" t="s">
        <v>137</v>
      </c>
    </row>
    <row r="36" customFormat="false" ht="26.85" hidden="false" customHeight="false" outlineLevel="0" collapsed="false">
      <c r="A36" s="5" t="s">
        <v>108</v>
      </c>
      <c r="B36" s="5" t="n">
        <v>30</v>
      </c>
      <c r="C36" s="5" t="n">
        <v>5</v>
      </c>
      <c r="D36" s="5" t="s">
        <v>138</v>
      </c>
    </row>
    <row r="37" customFormat="false" ht="26.85" hidden="false" customHeight="false" outlineLevel="0" collapsed="false">
      <c r="A37" s="6" t="s">
        <v>109</v>
      </c>
      <c r="B37" s="6" t="n">
        <v>30</v>
      </c>
      <c r="C37" s="6" t="n">
        <v>5</v>
      </c>
      <c r="D37" s="6" t="s">
        <v>139</v>
      </c>
    </row>
    <row r="38" customFormat="false" ht="26.85" hidden="false" customHeight="false" outlineLevel="0" collapsed="false">
      <c r="A38" s="12" t="s">
        <v>140</v>
      </c>
      <c r="B38" s="11" t="n">
        <f aca="false">SUM(B34:B37)</f>
        <v>120</v>
      </c>
      <c r="C38" s="11" t="n">
        <f aca="false">SUM(C34:C37)</f>
        <v>20</v>
      </c>
      <c r="D38" s="6" t="s">
        <v>141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4"/>
  </cols>
  <sheetData>
    <row r="1" customFormat="false" ht="22.05" hidden="false" customHeight="false" outlineLevel="0" collapsed="false">
      <c r="A1" s="1" t="s">
        <v>142</v>
      </c>
    </row>
    <row r="3" customFormat="false" ht="36" hidden="false" customHeight="true" outlineLevel="0" collapsed="false">
      <c r="A3" s="2" t="s">
        <v>143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144</v>
      </c>
    </row>
    <row r="6" customFormat="false" ht="26.85" hidden="false" customHeight="false" outlineLevel="0" collapsed="false">
      <c r="A6" s="6" t="s">
        <v>145</v>
      </c>
      <c r="B6" s="10" t="n">
        <v>4</v>
      </c>
      <c r="C6" s="6" t="s">
        <v>146</v>
      </c>
    </row>
    <row r="7" customFormat="false" ht="39.55" hidden="false" customHeight="false" outlineLevel="0" collapsed="false">
      <c r="A7" s="5" t="s">
        <v>147</v>
      </c>
      <c r="B7" s="8" t="n">
        <v>30</v>
      </c>
      <c r="C7" s="5" t="s">
        <v>148</v>
      </c>
    </row>
    <row r="8" customFormat="false" ht="26.85" hidden="false" customHeight="false" outlineLevel="0" collapsed="false">
      <c r="A8" s="6" t="s">
        <v>149</v>
      </c>
      <c r="B8" s="10" t="n">
        <v>5</v>
      </c>
      <c r="C8" s="6" t="s">
        <v>150</v>
      </c>
    </row>
    <row r="9" customFormat="false" ht="26.85" hidden="false" customHeight="false" outlineLevel="0" collapsed="false">
      <c r="A9" s="5" t="s">
        <v>151</v>
      </c>
      <c r="B9" s="8" t="n">
        <v>5</v>
      </c>
      <c r="C9" s="5" t="s">
        <v>152</v>
      </c>
    </row>
    <row r="10" customFormat="false" ht="15" hidden="false" customHeight="false" outlineLevel="0" collapsed="false">
      <c r="A10" s="6" t="s">
        <v>153</v>
      </c>
      <c r="B10" s="10" t="n">
        <v>22</v>
      </c>
      <c r="C10" s="6" t="s">
        <v>154</v>
      </c>
    </row>
    <row r="11" customFormat="false" ht="15" hidden="false" customHeight="false" outlineLevel="0" collapsed="false">
      <c r="A11" s="5" t="s">
        <v>155</v>
      </c>
      <c r="B11" s="8" t="n">
        <v>0.08</v>
      </c>
      <c r="C11" s="5" t="s">
        <v>156</v>
      </c>
    </row>
    <row r="12" customFormat="false" ht="15" hidden="false" customHeight="false" outlineLevel="0" collapsed="false">
      <c r="A12" s="6" t="s">
        <v>157</v>
      </c>
      <c r="B12" s="10" t="n">
        <v>0.4</v>
      </c>
      <c r="C12" s="6" t="s">
        <v>158</v>
      </c>
    </row>
    <row r="13" customFormat="false" ht="15" hidden="false" customHeight="false" outlineLevel="0" collapsed="false">
      <c r="A13" s="5" t="s">
        <v>159</v>
      </c>
      <c r="B13" s="8" t="n">
        <v>0.5</v>
      </c>
      <c r="C13" s="5" t="s">
        <v>160</v>
      </c>
    </row>
    <row r="14" customFormat="false" ht="15" hidden="false" customHeight="false" outlineLevel="0" collapsed="false">
      <c r="A14" s="6" t="s">
        <v>161</v>
      </c>
      <c r="B14" s="10" t="n">
        <v>0.2</v>
      </c>
      <c r="C14" s="6" t="s">
        <v>162</v>
      </c>
    </row>
    <row r="17" customFormat="false" ht="17.35" hidden="false" customHeight="false" outlineLevel="0" collapsed="false">
      <c r="A17" s="3" t="s">
        <v>163</v>
      </c>
    </row>
    <row r="18" customFormat="false" ht="31.5" hidden="false" customHeight="true" outlineLevel="0" collapsed="false">
      <c r="A18" s="4" t="s">
        <v>58</v>
      </c>
      <c r="B18" s="4" t="s">
        <v>164</v>
      </c>
      <c r="C18" s="4" t="s">
        <v>165</v>
      </c>
      <c r="D18" s="4" t="s">
        <v>166</v>
      </c>
      <c r="E18" s="4" t="s">
        <v>167</v>
      </c>
    </row>
    <row r="19" customFormat="false" ht="15" hidden="false" customHeight="false" outlineLevel="0" collapsed="false">
      <c r="A19" s="5" t="s">
        <v>168</v>
      </c>
      <c r="B19" s="9" t="n">
        <f aca="false">B7/B8</f>
        <v>6</v>
      </c>
      <c r="C19" s="9" t="n">
        <f aca="false">B6*B7/B8</f>
        <v>24</v>
      </c>
      <c r="D19" s="9" t="n">
        <f aca="false">B6*B7/B8*B9</f>
        <v>120</v>
      </c>
      <c r="E19" s="9" t="n">
        <f aca="false">B6*B7/B8*B10</f>
        <v>528</v>
      </c>
    </row>
    <row r="20" customFormat="false" ht="15" hidden="false" customHeight="false" outlineLevel="0" collapsed="false">
      <c r="A20" s="6" t="s">
        <v>169</v>
      </c>
      <c r="B20" s="11" t="n">
        <f aca="false">B7</f>
        <v>30</v>
      </c>
      <c r="C20" s="11" t="n">
        <f aca="false">B6*B7</f>
        <v>120</v>
      </c>
      <c r="D20" s="11" t="n">
        <f aca="false">B6*B7*B9</f>
        <v>600</v>
      </c>
      <c r="E20" s="11" t="n">
        <f aca="false">B6*B7*B10</f>
        <v>2640</v>
      </c>
    </row>
    <row r="23" customFormat="false" ht="17.35" hidden="false" customHeight="false" outlineLevel="0" collapsed="false">
      <c r="A23" s="3" t="s">
        <v>170</v>
      </c>
    </row>
    <row r="24" customFormat="false" ht="31.5" hidden="false" customHeight="true" outlineLevel="0" collapsed="false">
      <c r="A24" s="4" t="s">
        <v>171</v>
      </c>
      <c r="B24" s="4" t="s">
        <v>167</v>
      </c>
      <c r="C24" s="4" t="s">
        <v>172</v>
      </c>
    </row>
    <row r="25" customFormat="false" ht="15" hidden="false" customHeight="false" outlineLevel="0" collapsed="false">
      <c r="A25" s="6" t="s">
        <v>168</v>
      </c>
      <c r="B25" s="11" t="n">
        <f aca="false">E19</f>
        <v>528</v>
      </c>
      <c r="C25" s="6" t="s">
        <v>173</v>
      </c>
    </row>
    <row r="26" customFormat="false" ht="26.85" hidden="false" customHeight="false" outlineLevel="0" collapsed="false">
      <c r="A26" s="5" t="s">
        <v>174</v>
      </c>
      <c r="B26" s="9" t="n">
        <f aca="false">E19*B11</f>
        <v>42.24</v>
      </c>
      <c r="C26" s="5" t="s">
        <v>175</v>
      </c>
    </row>
    <row r="27" customFormat="false" ht="15" hidden="false" customHeight="false" outlineLevel="0" collapsed="false">
      <c r="A27" s="6" t="s">
        <v>176</v>
      </c>
      <c r="B27" s="11" t="n">
        <f aca="false">B26*B12</f>
        <v>16.896</v>
      </c>
      <c r="C27" s="6" t="s">
        <v>177</v>
      </c>
    </row>
    <row r="28" customFormat="false" ht="26.85" hidden="false" customHeight="false" outlineLevel="0" collapsed="false">
      <c r="A28" s="5" t="s">
        <v>178</v>
      </c>
      <c r="B28" s="9" t="n">
        <f aca="false">B27*B13</f>
        <v>8.448</v>
      </c>
      <c r="C28" s="5" t="s">
        <v>179</v>
      </c>
    </row>
    <row r="29" customFormat="false" ht="26.85" hidden="false" customHeight="false" outlineLevel="0" collapsed="false">
      <c r="A29" s="6" t="s">
        <v>180</v>
      </c>
      <c r="B29" s="11" t="n">
        <f aca="false">B28*B14</f>
        <v>1.6896</v>
      </c>
      <c r="C29" s="6" t="s">
        <v>181</v>
      </c>
    </row>
    <row r="32" customFormat="false" ht="17.35" hidden="false" customHeight="false" outlineLevel="0" collapsed="false">
      <c r="A32" s="3" t="s">
        <v>182</v>
      </c>
    </row>
    <row r="33" customFormat="false" ht="15" hidden="false" customHeight="false" outlineLevel="0" collapsed="false">
      <c r="A33" s="13" t="s">
        <v>183</v>
      </c>
      <c r="B33" s="13"/>
      <c r="C33" s="13"/>
      <c r="D33" s="13"/>
      <c r="E33" s="13"/>
    </row>
  </sheetData>
  <mergeCells count="2">
    <mergeCell ref="A3:H3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30"/>
  </cols>
  <sheetData>
    <row r="1" customFormat="false" ht="22.05" hidden="false" customHeight="false" outlineLevel="0" collapsed="false">
      <c r="A1" s="1" t="s">
        <v>184</v>
      </c>
    </row>
    <row r="3" customFormat="false" ht="36" hidden="false" customHeight="true" outlineLevel="0" collapsed="false">
      <c r="A3" s="2" t="s">
        <v>185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186</v>
      </c>
    </row>
    <row r="6" customFormat="false" ht="15" hidden="false" customHeight="false" outlineLevel="0" collapsed="false">
      <c r="A6" s="7" t="s">
        <v>187</v>
      </c>
      <c r="B6" s="7"/>
      <c r="C6" s="7"/>
      <c r="D6" s="7"/>
      <c r="E6" s="7"/>
      <c r="F6" s="7"/>
      <c r="G6" s="7"/>
      <c r="H6" s="7"/>
      <c r="I6" s="7"/>
      <c r="J6" s="7"/>
    </row>
    <row r="8" customFormat="false" ht="31.5" hidden="false" customHeight="true" outlineLevel="0" collapsed="false">
      <c r="A8" s="4" t="s">
        <v>188</v>
      </c>
      <c r="B8" s="4" t="s">
        <v>189</v>
      </c>
      <c r="C8" s="4" t="s">
        <v>190</v>
      </c>
      <c r="D8" s="4" t="s">
        <v>191</v>
      </c>
      <c r="E8" s="4" t="s">
        <v>192</v>
      </c>
      <c r="F8" s="4" t="s">
        <v>193</v>
      </c>
      <c r="G8" s="4" t="s">
        <v>171</v>
      </c>
      <c r="H8" s="4" t="s">
        <v>194</v>
      </c>
      <c r="I8" s="4" t="s">
        <v>195</v>
      </c>
      <c r="J8" s="4" t="s">
        <v>196</v>
      </c>
      <c r="K8" s="4" t="s">
        <v>172</v>
      </c>
    </row>
    <row r="9" customFormat="false" ht="15" hidden="false" customHeight="false" outlineLevel="0" collapsed="false">
      <c r="A9" s="5" t="s">
        <v>197</v>
      </c>
      <c r="B9" s="5" t="s">
        <v>198</v>
      </c>
      <c r="C9" s="5" t="s">
        <v>199</v>
      </c>
      <c r="D9" s="5" t="s">
        <v>200</v>
      </c>
      <c r="E9" s="5" t="s">
        <v>201</v>
      </c>
      <c r="F9" s="5" t="s">
        <v>202</v>
      </c>
      <c r="G9" s="5" t="s">
        <v>203</v>
      </c>
      <c r="H9" s="5" t="s">
        <v>204</v>
      </c>
      <c r="I9" s="5" t="s">
        <v>205</v>
      </c>
      <c r="J9" s="5" t="s">
        <v>206</v>
      </c>
      <c r="K9" s="5" t="s">
        <v>207</v>
      </c>
    </row>
    <row r="10" customFormat="false" ht="26.85" hidden="false" customHeight="false" outlineLevel="0" collapsed="false">
      <c r="A10" s="6" t="s">
        <v>208</v>
      </c>
      <c r="B10" s="6" t="s">
        <v>129</v>
      </c>
      <c r="C10" s="6" t="s">
        <v>129</v>
      </c>
      <c r="D10" s="6" t="s">
        <v>129</v>
      </c>
      <c r="E10" s="6" t="s">
        <v>209</v>
      </c>
      <c r="F10" s="6" t="s">
        <v>210</v>
      </c>
      <c r="G10" s="6" t="s">
        <v>211</v>
      </c>
      <c r="H10" s="6" t="s">
        <v>204</v>
      </c>
      <c r="I10" s="6" t="s">
        <v>205</v>
      </c>
      <c r="J10" s="6" t="s">
        <v>212</v>
      </c>
      <c r="K10" s="6" t="s">
        <v>213</v>
      </c>
    </row>
    <row r="11" customFormat="false" ht="26.85" hidden="false" customHeight="false" outlineLevel="0" collapsed="false">
      <c r="A11" s="5" t="s">
        <v>214</v>
      </c>
      <c r="B11" s="5" t="s">
        <v>129</v>
      </c>
      <c r="C11" s="5" t="s">
        <v>129</v>
      </c>
      <c r="D11" s="5" t="s">
        <v>129</v>
      </c>
      <c r="E11" s="5" t="s">
        <v>215</v>
      </c>
      <c r="F11" s="5" t="s">
        <v>216</v>
      </c>
      <c r="G11" s="5" t="s">
        <v>217</v>
      </c>
      <c r="H11" s="5" t="s">
        <v>204</v>
      </c>
      <c r="I11" s="5" t="s">
        <v>218</v>
      </c>
      <c r="J11" s="5" t="s">
        <v>219</v>
      </c>
      <c r="K11" s="5" t="s">
        <v>220</v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</sheetData>
  <mergeCells count="2">
    <mergeCell ref="A3:H3"/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2.05" hidden="false" customHeight="false" outlineLevel="0" collapsed="false">
      <c r="A1" s="1" t="s">
        <v>221</v>
      </c>
    </row>
    <row r="3" customFormat="false" ht="36" hidden="false" customHeight="true" outlineLevel="0" collapsed="false">
      <c r="A3" s="2" t="s">
        <v>222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188</v>
      </c>
      <c r="B5" s="4" t="s">
        <v>92</v>
      </c>
      <c r="C5" s="4" t="s">
        <v>223</v>
      </c>
      <c r="D5" s="4" t="s">
        <v>224</v>
      </c>
      <c r="E5" s="4" t="s">
        <v>225</v>
      </c>
      <c r="F5" s="4" t="s">
        <v>64</v>
      </c>
      <c r="G5" s="4" t="s">
        <v>226</v>
      </c>
      <c r="H5" s="4" t="s">
        <v>227</v>
      </c>
    </row>
    <row r="6" customFormat="false" ht="15" hidden="false" customHeight="false" outlineLevel="0" collapsed="false">
      <c r="A6" s="5" t="s">
        <v>214</v>
      </c>
      <c r="B6" s="5" t="s">
        <v>97</v>
      </c>
      <c r="C6" s="5" t="s">
        <v>228</v>
      </c>
      <c r="D6" s="5" t="s">
        <v>229</v>
      </c>
      <c r="E6" s="5" t="s">
        <v>230</v>
      </c>
      <c r="F6" s="5" t="s">
        <v>231</v>
      </c>
      <c r="G6" s="5" t="s">
        <v>129</v>
      </c>
      <c r="H6" s="5" t="s">
        <v>232</v>
      </c>
    </row>
    <row r="7" customFormat="false" ht="26.85" hidden="false" customHeight="false" outlineLevel="0" collapsed="false">
      <c r="A7" s="6" t="s">
        <v>208</v>
      </c>
      <c r="B7" s="6" t="s">
        <v>102</v>
      </c>
      <c r="C7" s="6" t="s">
        <v>129</v>
      </c>
      <c r="D7" s="6" t="s">
        <v>233</v>
      </c>
      <c r="E7" s="6" t="s">
        <v>129</v>
      </c>
      <c r="F7" s="6" t="s">
        <v>129</v>
      </c>
      <c r="G7" s="6" t="s">
        <v>129</v>
      </c>
      <c r="H7" s="6" t="s">
        <v>129</v>
      </c>
    </row>
    <row r="8" customFormat="false" ht="26.85" hidden="false" customHeight="false" outlineLevel="0" collapsed="false">
      <c r="A8" s="5" t="s">
        <v>214</v>
      </c>
      <c r="B8" s="5" t="s">
        <v>108</v>
      </c>
      <c r="C8" s="5" t="s">
        <v>129</v>
      </c>
      <c r="D8" s="5" t="s">
        <v>234</v>
      </c>
      <c r="E8" s="5" t="s">
        <v>129</v>
      </c>
      <c r="F8" s="5" t="s">
        <v>129</v>
      </c>
      <c r="G8" s="5" t="s">
        <v>129</v>
      </c>
      <c r="H8" s="5" t="s">
        <v>129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22.05" hidden="false" customHeight="false" outlineLevel="0" collapsed="false">
      <c r="A1" s="1" t="s">
        <v>235</v>
      </c>
    </row>
    <row r="3" customFormat="false" ht="36" hidden="false" customHeight="true" outlineLevel="0" collapsed="false">
      <c r="A3" s="2" t="s">
        <v>236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237</v>
      </c>
      <c r="B5" s="4" t="s">
        <v>238</v>
      </c>
      <c r="C5" s="4" t="s">
        <v>239</v>
      </c>
      <c r="D5" s="4" t="s">
        <v>240</v>
      </c>
      <c r="E5" s="4" t="s">
        <v>241</v>
      </c>
      <c r="F5" s="4" t="s">
        <v>242</v>
      </c>
      <c r="G5" s="4" t="s">
        <v>243</v>
      </c>
      <c r="H5" s="4" t="s">
        <v>244</v>
      </c>
      <c r="I5" s="4" t="s">
        <v>172</v>
      </c>
    </row>
    <row r="6" customFormat="false" ht="15" hidden="false" customHeight="false" outlineLevel="0" collapsed="false">
      <c r="A6" s="5" t="s">
        <v>245</v>
      </c>
      <c r="B6" s="8" t="n">
        <v>10</v>
      </c>
      <c r="C6" s="8" t="n">
        <v>0</v>
      </c>
      <c r="D6" s="8" t="n">
        <v>0</v>
      </c>
      <c r="E6" s="8" t="n">
        <v>0</v>
      </c>
      <c r="F6" s="8" t="n">
        <v>10</v>
      </c>
      <c r="G6" s="8" t="n">
        <v>1</v>
      </c>
      <c r="H6" s="8" t="n">
        <v>0</v>
      </c>
      <c r="I6" s="5"/>
    </row>
    <row r="7" customFormat="false" ht="15" hidden="false" customHeight="false" outlineLevel="0" collapsed="false">
      <c r="A7" s="6" t="s">
        <v>246</v>
      </c>
      <c r="B7" s="10" t="n">
        <v>10</v>
      </c>
      <c r="C7" s="10" t="n">
        <v>0</v>
      </c>
      <c r="D7" s="10" t="n">
        <v>0</v>
      </c>
      <c r="E7" s="10" t="n">
        <v>0</v>
      </c>
      <c r="F7" s="10" t="n">
        <v>10</v>
      </c>
      <c r="G7" s="10" t="n">
        <v>1</v>
      </c>
      <c r="H7" s="10" t="n">
        <v>0</v>
      </c>
      <c r="I7" s="6"/>
    </row>
    <row r="8" customFormat="false" ht="15" hidden="false" customHeight="false" outlineLevel="0" collapsed="false">
      <c r="A8" s="5" t="s">
        <v>247</v>
      </c>
      <c r="B8" s="8" t="n">
        <v>10</v>
      </c>
      <c r="C8" s="8" t="n">
        <v>0</v>
      </c>
      <c r="D8" s="8" t="n">
        <v>0</v>
      </c>
      <c r="E8" s="8" t="n">
        <v>0</v>
      </c>
      <c r="F8" s="8" t="n">
        <v>10</v>
      </c>
      <c r="G8" s="8" t="n">
        <v>1</v>
      </c>
      <c r="H8" s="8" t="n">
        <v>0</v>
      </c>
      <c r="I8" s="5"/>
    </row>
    <row r="9" customFormat="false" ht="15" hidden="false" customHeight="false" outlineLevel="0" collapsed="false">
      <c r="A9" s="6" t="s">
        <v>248</v>
      </c>
      <c r="B9" s="10" t="n">
        <v>10</v>
      </c>
      <c r="C9" s="10" t="n">
        <v>0</v>
      </c>
      <c r="D9" s="10" t="n">
        <v>0</v>
      </c>
      <c r="E9" s="10" t="n">
        <v>0</v>
      </c>
      <c r="F9" s="10" t="n">
        <v>10</v>
      </c>
      <c r="G9" s="10" t="n">
        <v>1</v>
      </c>
      <c r="H9" s="10" t="n">
        <v>0</v>
      </c>
      <c r="I9" s="6"/>
    </row>
    <row r="10" customFormat="false" ht="15" hidden="false" customHeight="false" outlineLevel="0" collapsed="false">
      <c r="A10" s="5" t="s">
        <v>249</v>
      </c>
      <c r="B10" s="8" t="n">
        <v>10</v>
      </c>
      <c r="C10" s="8" t="n">
        <v>0</v>
      </c>
      <c r="D10" s="8" t="n">
        <v>0</v>
      </c>
      <c r="E10" s="8" t="n">
        <v>0</v>
      </c>
      <c r="F10" s="8" t="n">
        <v>10</v>
      </c>
      <c r="G10" s="8" t="n">
        <v>1</v>
      </c>
      <c r="H10" s="8" t="n">
        <v>0</v>
      </c>
      <c r="I10" s="5"/>
    </row>
    <row r="11" customFormat="false" ht="15" hidden="false" customHeight="false" outlineLevel="0" collapsed="false">
      <c r="A11" s="6" t="s">
        <v>250</v>
      </c>
      <c r="B11" s="6" t="s">
        <v>129</v>
      </c>
      <c r="C11" s="6" t="s">
        <v>129</v>
      </c>
      <c r="D11" s="6" t="s">
        <v>129</v>
      </c>
      <c r="E11" s="6" t="s">
        <v>129</v>
      </c>
      <c r="F11" s="6" t="s">
        <v>129</v>
      </c>
      <c r="G11" s="6" t="s">
        <v>129</v>
      </c>
      <c r="H11" s="6" t="s">
        <v>129</v>
      </c>
      <c r="I11" s="6" t="s">
        <v>251</v>
      </c>
    </row>
    <row r="12" customFormat="false" ht="15" hidden="false" customHeight="false" outlineLevel="0" collapsed="false">
      <c r="A12" s="5" t="s">
        <v>252</v>
      </c>
      <c r="B12" s="5" t="s">
        <v>129</v>
      </c>
      <c r="C12" s="5" t="s">
        <v>129</v>
      </c>
      <c r="D12" s="5" t="s">
        <v>129</v>
      </c>
      <c r="E12" s="5" t="s">
        <v>129</v>
      </c>
      <c r="F12" s="5" t="s">
        <v>129</v>
      </c>
      <c r="G12" s="5" t="s">
        <v>129</v>
      </c>
      <c r="H12" s="5" t="s">
        <v>129</v>
      </c>
      <c r="I12" s="5" t="s">
        <v>251</v>
      </c>
    </row>
    <row r="13" customFormat="false" ht="15" hidden="false" customHeight="false" outlineLevel="0" collapsed="false">
      <c r="A13" s="6" t="s">
        <v>253</v>
      </c>
      <c r="B13" s="10" t="n">
        <v>10</v>
      </c>
      <c r="C13" s="10" t="n">
        <v>0</v>
      </c>
      <c r="D13" s="10" t="n">
        <v>0</v>
      </c>
      <c r="E13" s="10" t="n">
        <v>0</v>
      </c>
      <c r="F13" s="10" t="n">
        <v>10</v>
      </c>
      <c r="G13" s="10" t="n">
        <v>1</v>
      </c>
      <c r="H13" s="10" t="n">
        <v>0</v>
      </c>
      <c r="I13" s="6"/>
    </row>
    <row r="14" customFormat="false" ht="15" hidden="false" customHeight="false" outlineLevel="0" collapsed="false">
      <c r="A14" s="5" t="s">
        <v>254</v>
      </c>
      <c r="B14" s="8" t="n">
        <v>10</v>
      </c>
      <c r="C14" s="8" t="n">
        <v>0</v>
      </c>
      <c r="D14" s="8" t="n">
        <v>0</v>
      </c>
      <c r="E14" s="8" t="n">
        <v>0</v>
      </c>
      <c r="F14" s="8" t="n">
        <v>10</v>
      </c>
      <c r="G14" s="8" t="n">
        <v>1</v>
      </c>
      <c r="H14" s="8" t="n">
        <v>0</v>
      </c>
      <c r="I14" s="5"/>
    </row>
    <row r="15" customFormat="false" ht="15" hidden="false" customHeight="false" outlineLevel="0" collapsed="false">
      <c r="A15" s="6" t="s">
        <v>255</v>
      </c>
      <c r="B15" s="10" t="n">
        <v>10</v>
      </c>
      <c r="C15" s="10" t="n">
        <v>0</v>
      </c>
      <c r="D15" s="10" t="n">
        <v>0</v>
      </c>
      <c r="E15" s="10" t="n">
        <v>0</v>
      </c>
      <c r="F15" s="10" t="n">
        <v>10</v>
      </c>
      <c r="G15" s="10" t="n">
        <v>1</v>
      </c>
      <c r="H15" s="10" t="n">
        <v>0</v>
      </c>
      <c r="I15" s="6"/>
    </row>
    <row r="16" customFormat="false" ht="15" hidden="false" customHeight="false" outlineLevel="0" collapsed="false">
      <c r="A16" s="5" t="s">
        <v>256</v>
      </c>
      <c r="B16" s="8" t="n">
        <v>10</v>
      </c>
      <c r="C16" s="8" t="n">
        <v>0</v>
      </c>
      <c r="D16" s="8" t="n">
        <v>0</v>
      </c>
      <c r="E16" s="8" t="n">
        <v>0</v>
      </c>
      <c r="F16" s="8" t="n">
        <v>10</v>
      </c>
      <c r="G16" s="8" t="n">
        <v>1</v>
      </c>
      <c r="H16" s="8" t="n">
        <v>0</v>
      </c>
      <c r="I16" s="5"/>
    </row>
    <row r="17" customFormat="false" ht="15" hidden="false" customHeight="false" outlineLevel="0" collapsed="false">
      <c r="A17" s="6" t="s">
        <v>257</v>
      </c>
      <c r="B17" s="10" t="n">
        <v>10</v>
      </c>
      <c r="C17" s="10" t="n">
        <v>0</v>
      </c>
      <c r="D17" s="10" t="n">
        <v>0</v>
      </c>
      <c r="E17" s="10" t="n">
        <v>0</v>
      </c>
      <c r="F17" s="10" t="n">
        <v>10</v>
      </c>
      <c r="G17" s="10" t="n">
        <v>1</v>
      </c>
      <c r="H17" s="10" t="n">
        <v>0</v>
      </c>
      <c r="I17" s="6"/>
    </row>
    <row r="18" customFormat="false" ht="15" hidden="false" customHeight="false" outlineLevel="0" collapsed="false">
      <c r="A18" s="5" t="s">
        <v>258</v>
      </c>
      <c r="B18" s="5" t="s">
        <v>129</v>
      </c>
      <c r="C18" s="5" t="s">
        <v>129</v>
      </c>
      <c r="D18" s="5" t="s">
        <v>129</v>
      </c>
      <c r="E18" s="5" t="s">
        <v>129</v>
      </c>
      <c r="F18" s="5" t="s">
        <v>129</v>
      </c>
      <c r="G18" s="5" t="s">
        <v>129</v>
      </c>
      <c r="H18" s="5" t="s">
        <v>129</v>
      </c>
      <c r="I18" s="5" t="s">
        <v>251</v>
      </c>
    </row>
    <row r="19" customFormat="false" ht="15" hidden="false" customHeight="false" outlineLevel="0" collapsed="false">
      <c r="A19" s="6" t="s">
        <v>259</v>
      </c>
      <c r="B19" s="6" t="s">
        <v>129</v>
      </c>
      <c r="C19" s="6" t="s">
        <v>129</v>
      </c>
      <c r="D19" s="6" t="s">
        <v>129</v>
      </c>
      <c r="E19" s="6" t="s">
        <v>129</v>
      </c>
      <c r="F19" s="6" t="s">
        <v>129</v>
      </c>
      <c r="G19" s="6" t="s">
        <v>129</v>
      </c>
      <c r="H19" s="6" t="s">
        <v>129</v>
      </c>
      <c r="I19" s="6" t="s">
        <v>251</v>
      </c>
    </row>
    <row r="20" customFormat="false" ht="15" hidden="false" customHeight="false" outlineLevel="0" collapsed="false">
      <c r="A20" s="5" t="s">
        <v>260</v>
      </c>
      <c r="B20" s="8" t="n">
        <v>10</v>
      </c>
      <c r="C20" s="8" t="n">
        <v>0</v>
      </c>
      <c r="D20" s="8" t="n">
        <v>0</v>
      </c>
      <c r="E20" s="8" t="n">
        <v>0</v>
      </c>
      <c r="F20" s="8" t="n">
        <v>10</v>
      </c>
      <c r="G20" s="8" t="n">
        <v>1</v>
      </c>
      <c r="H20" s="8" t="n">
        <v>0</v>
      </c>
      <c r="I20" s="5"/>
    </row>
    <row r="21" customFormat="false" ht="15" hidden="false" customHeight="false" outlineLevel="0" collapsed="false">
      <c r="A21" s="6" t="s">
        <v>261</v>
      </c>
      <c r="B21" s="10" t="n">
        <v>10</v>
      </c>
      <c r="C21" s="10" t="n">
        <v>0</v>
      </c>
      <c r="D21" s="10" t="n">
        <v>0</v>
      </c>
      <c r="E21" s="10" t="n">
        <v>0</v>
      </c>
      <c r="F21" s="10" t="n">
        <v>10</v>
      </c>
      <c r="G21" s="10" t="n">
        <v>1</v>
      </c>
      <c r="H21" s="10" t="n">
        <v>0</v>
      </c>
      <c r="I21" s="6"/>
    </row>
    <row r="22" customFormat="false" ht="15" hidden="false" customHeight="false" outlineLevel="0" collapsed="false">
      <c r="A22" s="5" t="s">
        <v>262</v>
      </c>
      <c r="B22" s="8" t="n">
        <v>10</v>
      </c>
      <c r="C22" s="8" t="n">
        <v>0</v>
      </c>
      <c r="D22" s="8" t="n">
        <v>0</v>
      </c>
      <c r="E22" s="8" t="n">
        <v>0</v>
      </c>
      <c r="F22" s="8" t="n">
        <v>10</v>
      </c>
      <c r="G22" s="8" t="n">
        <v>1</v>
      </c>
      <c r="H22" s="8" t="n">
        <v>0</v>
      </c>
      <c r="I22" s="5"/>
    </row>
    <row r="23" customFormat="false" ht="15" hidden="false" customHeight="false" outlineLevel="0" collapsed="false">
      <c r="A23" s="6" t="s">
        <v>263</v>
      </c>
      <c r="B23" s="10" t="n">
        <v>10</v>
      </c>
      <c r="C23" s="10" t="n">
        <v>0</v>
      </c>
      <c r="D23" s="10" t="n">
        <v>0</v>
      </c>
      <c r="E23" s="10" t="n">
        <v>0</v>
      </c>
      <c r="F23" s="10" t="n">
        <v>10</v>
      </c>
      <c r="G23" s="10" t="n">
        <v>1</v>
      </c>
      <c r="H23" s="10" t="n">
        <v>0</v>
      </c>
      <c r="I23" s="6"/>
    </row>
    <row r="24" customFormat="false" ht="15" hidden="false" customHeight="false" outlineLevel="0" collapsed="false">
      <c r="A24" s="5" t="s">
        <v>264</v>
      </c>
      <c r="B24" s="8" t="n">
        <v>10</v>
      </c>
      <c r="C24" s="8" t="n">
        <v>0</v>
      </c>
      <c r="D24" s="8" t="n">
        <v>0</v>
      </c>
      <c r="E24" s="8" t="n">
        <v>0</v>
      </c>
      <c r="F24" s="8" t="n">
        <v>10</v>
      </c>
      <c r="G24" s="8" t="n">
        <v>1</v>
      </c>
      <c r="H24" s="8" t="n">
        <v>0</v>
      </c>
      <c r="I24" s="5"/>
    </row>
    <row r="25" customFormat="false" ht="15" hidden="false" customHeight="false" outlineLevel="0" collapsed="false">
      <c r="A25" s="6" t="s">
        <v>265</v>
      </c>
      <c r="B25" s="6" t="s">
        <v>129</v>
      </c>
      <c r="C25" s="6" t="s">
        <v>129</v>
      </c>
      <c r="D25" s="6" t="s">
        <v>129</v>
      </c>
      <c r="E25" s="6" t="s">
        <v>129</v>
      </c>
      <c r="F25" s="6" t="s">
        <v>129</v>
      </c>
      <c r="G25" s="6" t="s">
        <v>129</v>
      </c>
      <c r="H25" s="6" t="s">
        <v>129</v>
      </c>
      <c r="I25" s="6" t="s">
        <v>251</v>
      </c>
    </row>
    <row r="26" customFormat="false" ht="15" hidden="false" customHeight="false" outlineLevel="0" collapsed="false">
      <c r="A26" s="5" t="s">
        <v>266</v>
      </c>
      <c r="B26" s="5" t="s">
        <v>129</v>
      </c>
      <c r="C26" s="5" t="s">
        <v>129</v>
      </c>
      <c r="D26" s="5" t="s">
        <v>129</v>
      </c>
      <c r="E26" s="5" t="s">
        <v>129</v>
      </c>
      <c r="F26" s="5" t="s">
        <v>129</v>
      </c>
      <c r="G26" s="5" t="s">
        <v>129</v>
      </c>
      <c r="H26" s="5" t="s">
        <v>129</v>
      </c>
      <c r="I26" s="5" t="s">
        <v>251</v>
      </c>
    </row>
    <row r="27" customFormat="false" ht="15" hidden="false" customHeight="false" outlineLevel="0" collapsed="false">
      <c r="A27" s="6" t="s">
        <v>267</v>
      </c>
      <c r="B27" s="10" t="n">
        <v>10</v>
      </c>
      <c r="C27" s="10" t="n">
        <v>0</v>
      </c>
      <c r="D27" s="10" t="n">
        <v>0</v>
      </c>
      <c r="E27" s="10" t="n">
        <v>0</v>
      </c>
      <c r="F27" s="10" t="n">
        <v>10</v>
      </c>
      <c r="G27" s="10" t="n">
        <v>1</v>
      </c>
      <c r="H27" s="10" t="n">
        <v>0</v>
      </c>
      <c r="I27" s="6"/>
    </row>
    <row r="28" customFormat="false" ht="15" hidden="false" customHeight="false" outlineLevel="0" collapsed="false">
      <c r="A28" s="5" t="s">
        <v>268</v>
      </c>
      <c r="B28" s="8" t="n">
        <v>10</v>
      </c>
      <c r="C28" s="8" t="n">
        <v>0</v>
      </c>
      <c r="D28" s="8" t="n">
        <v>0</v>
      </c>
      <c r="E28" s="8" t="n">
        <v>0</v>
      </c>
      <c r="F28" s="8" t="n">
        <v>10</v>
      </c>
      <c r="G28" s="8" t="n">
        <v>1</v>
      </c>
      <c r="H28" s="8" t="n">
        <v>0</v>
      </c>
      <c r="I28" s="5"/>
    </row>
    <row r="29" customFormat="false" ht="15" hidden="false" customHeight="false" outlineLevel="0" collapsed="false">
      <c r="A29" s="6" t="s">
        <v>269</v>
      </c>
      <c r="B29" s="10" t="n">
        <v>10</v>
      </c>
      <c r="C29" s="10" t="n">
        <v>0</v>
      </c>
      <c r="D29" s="10" t="n">
        <v>0</v>
      </c>
      <c r="E29" s="10" t="n">
        <v>0</v>
      </c>
      <c r="F29" s="10" t="n">
        <v>10</v>
      </c>
      <c r="G29" s="10" t="n">
        <v>1</v>
      </c>
      <c r="H29" s="10" t="n">
        <v>0</v>
      </c>
      <c r="I29" s="6"/>
    </row>
    <row r="30" customFormat="false" ht="15" hidden="false" customHeight="false" outlineLevel="0" collapsed="false">
      <c r="A30" s="5" t="s">
        <v>270</v>
      </c>
      <c r="B30" s="8" t="n">
        <v>10</v>
      </c>
      <c r="C30" s="8" t="n">
        <v>0</v>
      </c>
      <c r="D30" s="8" t="n">
        <v>0</v>
      </c>
      <c r="E30" s="8" t="n">
        <v>0</v>
      </c>
      <c r="F30" s="8" t="n">
        <v>10</v>
      </c>
      <c r="G30" s="8" t="n">
        <v>1</v>
      </c>
      <c r="H30" s="8" t="n">
        <v>0</v>
      </c>
      <c r="I30" s="5"/>
    </row>
    <row r="31" customFormat="false" ht="15" hidden="false" customHeight="false" outlineLevel="0" collapsed="false">
      <c r="A31" s="6" t="s">
        <v>271</v>
      </c>
      <c r="B31" s="10" t="n">
        <v>10</v>
      </c>
      <c r="C31" s="10" t="n">
        <v>0</v>
      </c>
      <c r="D31" s="10" t="n">
        <v>0</v>
      </c>
      <c r="E31" s="10" t="n">
        <v>0</v>
      </c>
      <c r="F31" s="10" t="n">
        <v>10</v>
      </c>
      <c r="G31" s="10" t="n">
        <v>1</v>
      </c>
      <c r="H31" s="10" t="n">
        <v>0</v>
      </c>
      <c r="I31" s="6"/>
    </row>
    <row r="32" customFormat="false" ht="15" hidden="false" customHeight="false" outlineLevel="0" collapsed="false">
      <c r="A32" s="5" t="s">
        <v>272</v>
      </c>
      <c r="B32" s="5" t="s">
        <v>129</v>
      </c>
      <c r="C32" s="5" t="s">
        <v>129</v>
      </c>
      <c r="D32" s="5" t="s">
        <v>129</v>
      </c>
      <c r="E32" s="5" t="s">
        <v>129</v>
      </c>
      <c r="F32" s="5" t="s">
        <v>129</v>
      </c>
      <c r="G32" s="5" t="s">
        <v>129</v>
      </c>
      <c r="H32" s="5" t="s">
        <v>129</v>
      </c>
      <c r="I32" s="5" t="s">
        <v>251</v>
      </c>
    </row>
    <row r="33" customFormat="false" ht="15" hidden="false" customHeight="false" outlineLevel="0" collapsed="false">
      <c r="A33" s="6" t="s">
        <v>273</v>
      </c>
      <c r="B33" s="6" t="s">
        <v>129</v>
      </c>
      <c r="C33" s="6" t="s">
        <v>129</v>
      </c>
      <c r="D33" s="6" t="s">
        <v>129</v>
      </c>
      <c r="E33" s="6" t="s">
        <v>129</v>
      </c>
      <c r="F33" s="6" t="s">
        <v>129</v>
      </c>
      <c r="G33" s="6" t="s">
        <v>129</v>
      </c>
      <c r="H33" s="6" t="s">
        <v>129</v>
      </c>
      <c r="I33" s="6" t="s">
        <v>251</v>
      </c>
    </row>
    <row r="34" customFormat="false" ht="15" hidden="false" customHeight="false" outlineLevel="0" collapsed="false">
      <c r="A34" s="5" t="s">
        <v>274</v>
      </c>
      <c r="B34" s="8" t="n">
        <v>10</v>
      </c>
      <c r="C34" s="8" t="n">
        <v>0</v>
      </c>
      <c r="D34" s="8" t="n">
        <v>0</v>
      </c>
      <c r="E34" s="8" t="n">
        <v>0</v>
      </c>
      <c r="F34" s="8" t="n">
        <v>10</v>
      </c>
      <c r="G34" s="8" t="n">
        <v>1</v>
      </c>
      <c r="H34" s="8" t="n">
        <v>0</v>
      </c>
      <c r="I34" s="5"/>
    </row>
    <row r="35" customFormat="false" ht="15" hidden="false" customHeight="false" outlineLevel="0" collapsed="false">
      <c r="A35" s="6" t="s">
        <v>275</v>
      </c>
      <c r="B35" s="10" t="n">
        <v>10</v>
      </c>
      <c r="C35" s="10" t="n">
        <v>0</v>
      </c>
      <c r="D35" s="10" t="n">
        <v>0</v>
      </c>
      <c r="E35" s="10" t="n">
        <v>0</v>
      </c>
      <c r="F35" s="10" t="n">
        <v>10</v>
      </c>
      <c r="G35" s="10" t="n">
        <v>1</v>
      </c>
      <c r="H35" s="10" t="n">
        <v>0</v>
      </c>
      <c r="I35" s="6"/>
    </row>
    <row r="36" customFormat="false" ht="26.85" hidden="false" customHeight="false" outlineLevel="0" collapsed="false">
      <c r="A36" s="12" t="s">
        <v>276</v>
      </c>
      <c r="B36" s="11" t="n">
        <f aca="false">SUM(B6:B35)</f>
        <v>220</v>
      </c>
      <c r="C36" s="11" t="n">
        <f aca="false">SUM(C6:C35)</f>
        <v>0</v>
      </c>
      <c r="D36" s="11" t="n">
        <f aca="false">SUM(D6:D35)</f>
        <v>0</v>
      </c>
      <c r="E36" s="11" t="n">
        <f aca="false">SUM(E6:E35)</f>
        <v>0</v>
      </c>
      <c r="F36" s="11" t="n">
        <f aca="false">SUM(F6:F35)</f>
        <v>220</v>
      </c>
      <c r="G36" s="11" t="n">
        <f aca="false">SUM(G6:G35)</f>
        <v>22</v>
      </c>
      <c r="H36" s="11" t="n">
        <f aca="false">SUM(H6:H35)</f>
        <v>0</v>
      </c>
      <c r="I36" s="6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32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2.05" hidden="false" customHeight="false" outlineLevel="0" collapsed="false">
      <c r="A1" s="1" t="s">
        <v>277</v>
      </c>
    </row>
    <row r="3" customFormat="false" ht="36" hidden="false" customHeight="true" outlineLevel="0" collapsed="false">
      <c r="A3" s="2" t="s">
        <v>278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237</v>
      </c>
      <c r="B5" s="4" t="s">
        <v>193</v>
      </c>
      <c r="C5" s="4" t="s">
        <v>279</v>
      </c>
      <c r="D5" s="4" t="s">
        <v>280</v>
      </c>
      <c r="E5" s="4" t="s">
        <v>281</v>
      </c>
      <c r="F5" s="4" t="s">
        <v>64</v>
      </c>
      <c r="G5" s="4" t="s">
        <v>172</v>
      </c>
    </row>
    <row r="6" customFormat="false" ht="15" hidden="false" customHeight="false" outlineLevel="0" collapsed="false">
      <c r="A6" s="5" t="s">
        <v>245</v>
      </c>
      <c r="B6" s="5" t="s">
        <v>282</v>
      </c>
      <c r="C6" s="5" t="s">
        <v>283</v>
      </c>
      <c r="D6" s="8" t="s">
        <v>284</v>
      </c>
      <c r="E6" s="8" t="s">
        <v>285</v>
      </c>
      <c r="F6" s="8" t="s">
        <v>286</v>
      </c>
      <c r="G6" s="5"/>
    </row>
    <row r="7" customFormat="false" ht="15" hidden="false" customHeight="false" outlineLevel="0" collapsed="false">
      <c r="A7" s="5" t="s">
        <v>246</v>
      </c>
      <c r="B7" s="5" t="s">
        <v>282</v>
      </c>
      <c r="C7" s="5" t="s">
        <v>287</v>
      </c>
      <c r="D7" s="8" t="s">
        <v>284</v>
      </c>
      <c r="E7" s="8" t="s">
        <v>285</v>
      </c>
      <c r="F7" s="8" t="s">
        <v>286</v>
      </c>
      <c r="G7" s="5"/>
    </row>
    <row r="8" customFormat="false" ht="26.85" hidden="false" customHeight="false" outlineLevel="0" collapsed="false">
      <c r="A8" s="5" t="s">
        <v>247</v>
      </c>
      <c r="B8" s="5" t="s">
        <v>282</v>
      </c>
      <c r="C8" s="5" t="s">
        <v>288</v>
      </c>
      <c r="D8" s="8" t="s">
        <v>284</v>
      </c>
      <c r="E8" s="8" t="s">
        <v>285</v>
      </c>
      <c r="F8" s="8" t="s">
        <v>286</v>
      </c>
      <c r="G8" s="5"/>
    </row>
    <row r="9" customFormat="false" ht="15" hidden="false" customHeight="false" outlineLevel="0" collapsed="false">
      <c r="A9" s="5" t="s">
        <v>248</v>
      </c>
      <c r="B9" s="5" t="s">
        <v>282</v>
      </c>
      <c r="C9" s="5" t="s">
        <v>289</v>
      </c>
      <c r="D9" s="8" t="s">
        <v>284</v>
      </c>
      <c r="E9" s="8" t="s">
        <v>285</v>
      </c>
      <c r="F9" s="8" t="s">
        <v>286</v>
      </c>
      <c r="G9" s="5"/>
    </row>
    <row r="10" customFormat="false" ht="15" hidden="false" customHeight="false" outlineLevel="0" collapsed="false">
      <c r="A10" s="5" t="s">
        <v>249</v>
      </c>
      <c r="B10" s="5" t="s">
        <v>282</v>
      </c>
      <c r="C10" s="5" t="s">
        <v>290</v>
      </c>
      <c r="D10" s="8" t="s">
        <v>284</v>
      </c>
      <c r="E10" s="8" t="s">
        <v>285</v>
      </c>
      <c r="F10" s="8" t="s">
        <v>286</v>
      </c>
      <c r="G10" s="5"/>
    </row>
    <row r="11" customFormat="false" ht="15" hidden="false" customHeight="false" outlineLevel="0" collapsed="false">
      <c r="A11" s="6" t="s">
        <v>247</v>
      </c>
      <c r="B11" s="6" t="s">
        <v>291</v>
      </c>
      <c r="C11" s="6" t="s">
        <v>292</v>
      </c>
      <c r="D11" s="10" t="s">
        <v>293</v>
      </c>
      <c r="E11" s="6" t="s">
        <v>129</v>
      </c>
      <c r="F11" s="6" t="s">
        <v>286</v>
      </c>
      <c r="G11" s="6"/>
    </row>
    <row r="12" customFormat="false" ht="15" hidden="false" customHeight="false" outlineLevel="0" collapsed="false">
      <c r="A12" s="6" t="s">
        <v>253</v>
      </c>
      <c r="B12" s="6" t="s">
        <v>282</v>
      </c>
      <c r="C12" s="6" t="s">
        <v>283</v>
      </c>
      <c r="D12" s="10" t="s">
        <v>284</v>
      </c>
      <c r="E12" s="10" t="s">
        <v>285</v>
      </c>
      <c r="F12" s="10" t="s">
        <v>286</v>
      </c>
      <c r="G12" s="6"/>
    </row>
    <row r="13" customFormat="false" ht="15" hidden="false" customHeight="false" outlineLevel="0" collapsed="false">
      <c r="A13" s="6" t="s">
        <v>254</v>
      </c>
      <c r="B13" s="6" t="s">
        <v>282</v>
      </c>
      <c r="C13" s="6" t="s">
        <v>287</v>
      </c>
      <c r="D13" s="10" t="s">
        <v>284</v>
      </c>
      <c r="E13" s="10" t="s">
        <v>285</v>
      </c>
      <c r="F13" s="10" t="s">
        <v>286</v>
      </c>
      <c r="G13" s="6"/>
    </row>
    <row r="14" customFormat="false" ht="26.85" hidden="false" customHeight="false" outlineLevel="0" collapsed="false">
      <c r="A14" s="6" t="s">
        <v>255</v>
      </c>
      <c r="B14" s="6" t="s">
        <v>282</v>
      </c>
      <c r="C14" s="6" t="s">
        <v>288</v>
      </c>
      <c r="D14" s="10" t="s">
        <v>284</v>
      </c>
      <c r="E14" s="10" t="s">
        <v>285</v>
      </c>
      <c r="F14" s="10" t="s">
        <v>286</v>
      </c>
      <c r="G14" s="6"/>
    </row>
    <row r="15" customFormat="false" ht="15" hidden="false" customHeight="false" outlineLevel="0" collapsed="false">
      <c r="A15" s="6" t="s">
        <v>256</v>
      </c>
      <c r="B15" s="6" t="s">
        <v>282</v>
      </c>
      <c r="C15" s="6" t="s">
        <v>289</v>
      </c>
      <c r="D15" s="10" t="s">
        <v>284</v>
      </c>
      <c r="E15" s="10" t="s">
        <v>285</v>
      </c>
      <c r="F15" s="10" t="s">
        <v>286</v>
      </c>
      <c r="G15" s="6"/>
    </row>
    <row r="16" customFormat="false" ht="15" hidden="false" customHeight="false" outlineLevel="0" collapsed="false">
      <c r="A16" s="6" t="s">
        <v>257</v>
      </c>
      <c r="B16" s="6" t="s">
        <v>282</v>
      </c>
      <c r="C16" s="6" t="s">
        <v>290</v>
      </c>
      <c r="D16" s="10" t="s">
        <v>284</v>
      </c>
      <c r="E16" s="10" t="s">
        <v>285</v>
      </c>
      <c r="F16" s="10" t="s">
        <v>286</v>
      </c>
      <c r="G16" s="6"/>
    </row>
    <row r="17" customFormat="false" ht="15" hidden="false" customHeight="false" outlineLevel="0" collapsed="false">
      <c r="A17" s="5" t="s">
        <v>260</v>
      </c>
      <c r="B17" s="5" t="s">
        <v>282</v>
      </c>
      <c r="C17" s="5" t="s">
        <v>283</v>
      </c>
      <c r="D17" s="8" t="s">
        <v>284</v>
      </c>
      <c r="E17" s="8" t="s">
        <v>285</v>
      </c>
      <c r="F17" s="8" t="s">
        <v>286</v>
      </c>
      <c r="G17" s="5"/>
    </row>
    <row r="18" customFormat="false" ht="15" hidden="false" customHeight="false" outlineLevel="0" collapsed="false">
      <c r="A18" s="5" t="s">
        <v>261</v>
      </c>
      <c r="B18" s="5" t="s">
        <v>282</v>
      </c>
      <c r="C18" s="5" t="s">
        <v>287</v>
      </c>
      <c r="D18" s="8" t="s">
        <v>284</v>
      </c>
      <c r="E18" s="8" t="s">
        <v>285</v>
      </c>
      <c r="F18" s="8" t="s">
        <v>286</v>
      </c>
      <c r="G18" s="5"/>
    </row>
    <row r="19" customFormat="false" ht="26.85" hidden="false" customHeight="false" outlineLevel="0" collapsed="false">
      <c r="A19" s="5" t="s">
        <v>262</v>
      </c>
      <c r="B19" s="5" t="s">
        <v>282</v>
      </c>
      <c r="C19" s="5" t="s">
        <v>288</v>
      </c>
      <c r="D19" s="8" t="s">
        <v>284</v>
      </c>
      <c r="E19" s="8" t="s">
        <v>285</v>
      </c>
      <c r="F19" s="8" t="s">
        <v>286</v>
      </c>
      <c r="G19" s="5"/>
    </row>
    <row r="20" customFormat="false" ht="15" hidden="false" customHeight="false" outlineLevel="0" collapsed="false">
      <c r="A20" s="5" t="s">
        <v>263</v>
      </c>
      <c r="B20" s="5" t="s">
        <v>282</v>
      </c>
      <c r="C20" s="5" t="s">
        <v>289</v>
      </c>
      <c r="D20" s="8" t="s">
        <v>284</v>
      </c>
      <c r="E20" s="8" t="s">
        <v>285</v>
      </c>
      <c r="F20" s="8" t="s">
        <v>286</v>
      </c>
      <c r="G20" s="5"/>
    </row>
    <row r="21" customFormat="false" ht="15" hidden="false" customHeight="false" outlineLevel="0" collapsed="false">
      <c r="A21" s="5" t="s">
        <v>264</v>
      </c>
      <c r="B21" s="5" t="s">
        <v>282</v>
      </c>
      <c r="C21" s="5" t="s">
        <v>290</v>
      </c>
      <c r="D21" s="8" t="s">
        <v>284</v>
      </c>
      <c r="E21" s="8" t="s">
        <v>285</v>
      </c>
      <c r="F21" s="8" t="s">
        <v>286</v>
      </c>
      <c r="G21" s="5"/>
    </row>
    <row r="22" customFormat="false" ht="15" hidden="false" customHeight="false" outlineLevel="0" collapsed="false">
      <c r="A22" s="6" t="s">
        <v>262</v>
      </c>
      <c r="B22" s="6" t="s">
        <v>291</v>
      </c>
      <c r="C22" s="6" t="s">
        <v>292</v>
      </c>
      <c r="D22" s="10" t="s">
        <v>293</v>
      </c>
      <c r="E22" s="6" t="s">
        <v>129</v>
      </c>
      <c r="F22" s="6" t="s">
        <v>286</v>
      </c>
      <c r="G22" s="6"/>
    </row>
    <row r="23" customFormat="false" ht="15" hidden="false" customHeight="false" outlineLevel="0" collapsed="false">
      <c r="A23" s="6" t="s">
        <v>267</v>
      </c>
      <c r="B23" s="6" t="s">
        <v>282</v>
      </c>
      <c r="C23" s="6" t="s">
        <v>283</v>
      </c>
      <c r="D23" s="10" t="s">
        <v>284</v>
      </c>
      <c r="E23" s="10" t="s">
        <v>285</v>
      </c>
      <c r="F23" s="10" t="s">
        <v>286</v>
      </c>
      <c r="G23" s="6"/>
    </row>
    <row r="24" customFormat="false" ht="15" hidden="false" customHeight="false" outlineLevel="0" collapsed="false">
      <c r="A24" s="6" t="s">
        <v>268</v>
      </c>
      <c r="B24" s="6" t="s">
        <v>282</v>
      </c>
      <c r="C24" s="6" t="s">
        <v>287</v>
      </c>
      <c r="D24" s="10" t="s">
        <v>284</v>
      </c>
      <c r="E24" s="10" t="s">
        <v>285</v>
      </c>
      <c r="F24" s="10" t="s">
        <v>286</v>
      </c>
      <c r="G24" s="6"/>
    </row>
    <row r="25" customFormat="false" ht="26.85" hidden="false" customHeight="false" outlineLevel="0" collapsed="false">
      <c r="A25" s="6" t="s">
        <v>269</v>
      </c>
      <c r="B25" s="6" t="s">
        <v>282</v>
      </c>
      <c r="C25" s="6" t="s">
        <v>288</v>
      </c>
      <c r="D25" s="10" t="s">
        <v>284</v>
      </c>
      <c r="E25" s="10" t="s">
        <v>285</v>
      </c>
      <c r="F25" s="10" t="s">
        <v>286</v>
      </c>
      <c r="G25" s="6"/>
    </row>
    <row r="26" customFormat="false" ht="15" hidden="false" customHeight="false" outlineLevel="0" collapsed="false">
      <c r="A26" s="6" t="s">
        <v>270</v>
      </c>
      <c r="B26" s="6" t="s">
        <v>282</v>
      </c>
      <c r="C26" s="6" t="s">
        <v>289</v>
      </c>
      <c r="D26" s="10" t="s">
        <v>284</v>
      </c>
      <c r="E26" s="10" t="s">
        <v>285</v>
      </c>
      <c r="F26" s="10" t="s">
        <v>286</v>
      </c>
      <c r="G26" s="6"/>
    </row>
    <row r="27" customFormat="false" ht="15" hidden="false" customHeight="false" outlineLevel="0" collapsed="false">
      <c r="A27" s="6" t="s">
        <v>271</v>
      </c>
      <c r="B27" s="6" t="s">
        <v>282</v>
      </c>
      <c r="C27" s="6" t="s">
        <v>290</v>
      </c>
      <c r="D27" s="10" t="s">
        <v>284</v>
      </c>
      <c r="E27" s="10" t="s">
        <v>285</v>
      </c>
      <c r="F27" s="10" t="s">
        <v>286</v>
      </c>
      <c r="G27" s="6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22.05" hidden="false" customHeight="false" outlineLevel="0" collapsed="false">
      <c r="A1" s="1" t="s">
        <v>294</v>
      </c>
    </row>
    <row r="3" customFormat="false" ht="36" hidden="false" customHeight="true" outlineLevel="0" collapsed="false">
      <c r="A3" s="2" t="s">
        <v>295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296</v>
      </c>
      <c r="B5" s="4" t="s">
        <v>297</v>
      </c>
      <c r="C5" s="4" t="s">
        <v>298</v>
      </c>
      <c r="D5" s="4" t="s">
        <v>299</v>
      </c>
      <c r="E5" s="4" t="s">
        <v>300</v>
      </c>
      <c r="F5" s="4" t="s">
        <v>64</v>
      </c>
      <c r="G5" s="4" t="s">
        <v>194</v>
      </c>
      <c r="H5" s="4" t="s">
        <v>301</v>
      </c>
      <c r="I5" s="4" t="s">
        <v>302</v>
      </c>
    </row>
    <row r="6" customFormat="false" ht="26.85" hidden="false" customHeight="false" outlineLevel="0" collapsed="false">
      <c r="A6" s="5" t="n">
        <v>1</v>
      </c>
      <c r="B6" s="5" t="s">
        <v>303</v>
      </c>
      <c r="C6" s="5" t="s">
        <v>304</v>
      </c>
      <c r="D6" s="5" t="s">
        <v>305</v>
      </c>
      <c r="E6" s="5" t="s">
        <v>306</v>
      </c>
      <c r="F6" s="8" t="s">
        <v>307</v>
      </c>
      <c r="G6" s="5" t="s">
        <v>204</v>
      </c>
      <c r="H6" s="5" t="s">
        <v>308</v>
      </c>
      <c r="I6" s="8"/>
    </row>
    <row r="7" customFormat="false" ht="26.85" hidden="false" customHeight="false" outlineLevel="0" collapsed="false">
      <c r="A7" s="6" t="n">
        <v>2</v>
      </c>
      <c r="B7" s="6" t="s">
        <v>309</v>
      </c>
      <c r="C7" s="6" t="s">
        <v>310</v>
      </c>
      <c r="D7" s="6" t="s">
        <v>311</v>
      </c>
      <c r="E7" s="6" t="s">
        <v>312</v>
      </c>
      <c r="F7" s="10" t="s">
        <v>307</v>
      </c>
      <c r="G7" s="6" t="s">
        <v>204</v>
      </c>
      <c r="H7" s="6" t="s">
        <v>313</v>
      </c>
      <c r="I7" s="10"/>
    </row>
    <row r="8" customFormat="false" ht="26.85" hidden="false" customHeight="false" outlineLevel="0" collapsed="false">
      <c r="A8" s="5" t="n">
        <v>3</v>
      </c>
      <c r="B8" s="5" t="s">
        <v>314</v>
      </c>
      <c r="C8" s="5" t="s">
        <v>315</v>
      </c>
      <c r="D8" s="5" t="s">
        <v>316</v>
      </c>
      <c r="E8" s="5" t="s">
        <v>317</v>
      </c>
      <c r="F8" s="8" t="s">
        <v>307</v>
      </c>
      <c r="G8" s="5" t="s">
        <v>204</v>
      </c>
      <c r="H8" s="5" t="s">
        <v>313</v>
      </c>
      <c r="I8" s="8"/>
    </row>
    <row r="9" customFormat="false" ht="26.85" hidden="false" customHeight="false" outlineLevel="0" collapsed="false">
      <c r="A9" s="6" t="n">
        <v>4</v>
      </c>
      <c r="B9" s="6" t="s">
        <v>318</v>
      </c>
      <c r="C9" s="6" t="s">
        <v>319</v>
      </c>
      <c r="D9" s="6" t="s">
        <v>320</v>
      </c>
      <c r="E9" s="6" t="s">
        <v>321</v>
      </c>
      <c r="F9" s="10" t="s">
        <v>307</v>
      </c>
      <c r="G9" s="6" t="s">
        <v>204</v>
      </c>
      <c r="H9" s="6" t="s">
        <v>308</v>
      </c>
      <c r="I9" s="10"/>
    </row>
    <row r="10" customFormat="false" ht="26.85" hidden="false" customHeight="false" outlineLevel="0" collapsed="false">
      <c r="A10" s="5" t="n">
        <v>5</v>
      </c>
      <c r="B10" s="5" t="s">
        <v>322</v>
      </c>
      <c r="C10" s="5" t="s">
        <v>323</v>
      </c>
      <c r="D10" s="5" t="s">
        <v>324</v>
      </c>
      <c r="E10" s="5" t="s">
        <v>325</v>
      </c>
      <c r="F10" s="8" t="s">
        <v>307</v>
      </c>
      <c r="G10" s="5" t="s">
        <v>204</v>
      </c>
      <c r="H10" s="5" t="s">
        <v>326</v>
      </c>
      <c r="I10" s="8"/>
    </row>
    <row r="11" customFormat="false" ht="15" hidden="false" customHeight="false" outlineLevel="0" collapsed="false">
      <c r="A11" s="6" t="n">
        <v>6</v>
      </c>
      <c r="B11" s="6" t="s">
        <v>327</v>
      </c>
      <c r="C11" s="6" t="s">
        <v>328</v>
      </c>
      <c r="D11" s="6" t="s">
        <v>329</v>
      </c>
      <c r="E11" s="6" t="s">
        <v>330</v>
      </c>
      <c r="F11" s="10" t="s">
        <v>307</v>
      </c>
      <c r="G11" s="6" t="s">
        <v>204</v>
      </c>
      <c r="H11" s="6" t="s">
        <v>308</v>
      </c>
      <c r="I11" s="10"/>
    </row>
    <row r="12" customFormat="false" ht="26.85" hidden="false" customHeight="false" outlineLevel="0" collapsed="false">
      <c r="A12" s="5" t="n">
        <v>7</v>
      </c>
      <c r="B12" s="5" t="s">
        <v>331</v>
      </c>
      <c r="C12" s="5" t="s">
        <v>332</v>
      </c>
      <c r="D12" s="5" t="s">
        <v>333</v>
      </c>
      <c r="E12" s="5" t="s">
        <v>334</v>
      </c>
      <c r="F12" s="8" t="s">
        <v>335</v>
      </c>
      <c r="G12" s="5" t="s">
        <v>204</v>
      </c>
      <c r="H12" s="5" t="s">
        <v>308</v>
      </c>
      <c r="I12" s="8"/>
    </row>
    <row r="13" customFormat="false" ht="39.55" hidden="false" customHeight="false" outlineLevel="0" collapsed="false">
      <c r="A13" s="6" t="n">
        <v>8</v>
      </c>
      <c r="B13" s="6" t="s">
        <v>336</v>
      </c>
      <c r="C13" s="6" t="s">
        <v>337</v>
      </c>
      <c r="D13" s="6" t="s">
        <v>338</v>
      </c>
      <c r="E13" s="6" t="s">
        <v>339</v>
      </c>
      <c r="F13" s="10" t="s">
        <v>307</v>
      </c>
      <c r="G13" s="6" t="s">
        <v>204</v>
      </c>
      <c r="H13" s="6" t="s">
        <v>308</v>
      </c>
      <c r="I13" s="10"/>
    </row>
    <row r="14" customFormat="false" ht="15" hidden="false" customHeight="false" outlineLevel="0" collapsed="false">
      <c r="A14" s="5" t="n">
        <v>9</v>
      </c>
      <c r="B14" s="5" t="s">
        <v>340</v>
      </c>
      <c r="C14" s="5" t="s">
        <v>341</v>
      </c>
      <c r="D14" s="5" t="s">
        <v>342</v>
      </c>
      <c r="E14" s="5" t="s">
        <v>343</v>
      </c>
      <c r="F14" s="8" t="s">
        <v>307</v>
      </c>
      <c r="G14" s="5" t="s">
        <v>204</v>
      </c>
      <c r="H14" s="5" t="s">
        <v>308</v>
      </c>
      <c r="I14" s="8"/>
    </row>
    <row r="15" customFormat="false" ht="15" hidden="false" customHeight="false" outlineLevel="0" collapsed="false">
      <c r="A15" s="6" t="n">
        <v>10</v>
      </c>
      <c r="B15" s="6" t="s">
        <v>344</v>
      </c>
      <c r="C15" s="6" t="s">
        <v>345</v>
      </c>
      <c r="D15" s="6" t="s">
        <v>346</v>
      </c>
      <c r="E15" s="6" t="s">
        <v>343</v>
      </c>
      <c r="F15" s="10" t="s">
        <v>307</v>
      </c>
      <c r="G15" s="6" t="s">
        <v>204</v>
      </c>
      <c r="H15" s="6" t="s">
        <v>308</v>
      </c>
      <c r="I15" s="10"/>
    </row>
    <row r="16" customFormat="false" ht="39.55" hidden="false" customHeight="false" outlineLevel="0" collapsed="false">
      <c r="A16" s="5" t="n">
        <v>11</v>
      </c>
      <c r="B16" s="5" t="s">
        <v>347</v>
      </c>
      <c r="C16" s="5" t="s">
        <v>348</v>
      </c>
      <c r="D16" s="5" t="s">
        <v>349</v>
      </c>
      <c r="E16" s="5" t="s">
        <v>350</v>
      </c>
      <c r="F16" s="8" t="s">
        <v>307</v>
      </c>
      <c r="G16" s="5" t="s">
        <v>204</v>
      </c>
      <c r="H16" s="5" t="s">
        <v>308</v>
      </c>
      <c r="I16" s="8"/>
    </row>
    <row r="19" customFormat="false" ht="17.35" hidden="false" customHeight="false" outlineLevel="0" collapsed="false">
      <c r="A19" s="3" t="s">
        <v>351</v>
      </c>
    </row>
    <row r="20" customFormat="false" ht="31.5" hidden="false" customHeight="true" outlineLevel="0" collapsed="false">
      <c r="A20" s="4" t="s">
        <v>352</v>
      </c>
      <c r="B20" s="4" t="s">
        <v>353</v>
      </c>
      <c r="C20" s="4" t="s">
        <v>354</v>
      </c>
      <c r="D20" s="4" t="s">
        <v>355</v>
      </c>
    </row>
    <row r="21" customFormat="false" ht="15" hidden="false" customHeight="false" outlineLevel="0" collapsed="false">
      <c r="A21" s="8"/>
      <c r="B21" s="8"/>
      <c r="C21" s="8"/>
      <c r="D21" s="8"/>
    </row>
    <row r="22" customFormat="false" ht="15" hidden="false" customHeight="false" outlineLevel="0" collapsed="false">
      <c r="A22" s="10"/>
      <c r="B22" s="10"/>
      <c r="C22" s="10"/>
      <c r="D22" s="10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false" outlineLevel="0" collapsed="false">
      <c r="A24" s="10"/>
      <c r="B24" s="10"/>
      <c r="C24" s="10"/>
      <c r="D24" s="10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22.05" hidden="false" customHeight="false" outlineLevel="0" collapsed="false">
      <c r="A1" s="1" t="s">
        <v>356</v>
      </c>
    </row>
    <row r="3" customFormat="false" ht="36" hidden="false" customHeight="true" outlineLevel="0" collapsed="false">
      <c r="A3" s="2" t="s">
        <v>357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358</v>
      </c>
      <c r="B5" s="4" t="s">
        <v>359</v>
      </c>
      <c r="C5" s="4" t="s">
        <v>360</v>
      </c>
      <c r="D5" s="4" t="s">
        <v>361</v>
      </c>
      <c r="E5" s="4" t="s">
        <v>362</v>
      </c>
      <c r="F5" s="4" t="s">
        <v>363</v>
      </c>
      <c r="G5" s="4" t="s">
        <v>364</v>
      </c>
      <c r="H5" s="4" t="s">
        <v>365</v>
      </c>
    </row>
    <row r="6" customFormat="false" ht="15" hidden="false" customHeight="false" outlineLevel="0" collapsed="false">
      <c r="A6" s="5" t="s">
        <v>366</v>
      </c>
      <c r="B6" s="5" t="n">
        <v>2</v>
      </c>
      <c r="C6" s="5" t="n">
        <v>3</v>
      </c>
      <c r="D6" s="5" t="n">
        <v>200</v>
      </c>
      <c r="E6" s="8"/>
      <c r="F6" s="8"/>
      <c r="G6" s="8"/>
      <c r="H6" s="9" t="n">
        <f aca="false">G6-D6</f>
        <v>-200</v>
      </c>
    </row>
    <row r="7" customFormat="false" ht="15" hidden="false" customHeight="false" outlineLevel="0" collapsed="false">
      <c r="A7" s="6" t="s">
        <v>367</v>
      </c>
      <c r="B7" s="6" t="n">
        <v>4</v>
      </c>
      <c r="C7" s="6" t="n">
        <v>7</v>
      </c>
      <c r="D7" s="6" t="n">
        <v>500</v>
      </c>
      <c r="E7" s="10"/>
      <c r="F7" s="10"/>
      <c r="G7" s="10"/>
      <c r="H7" s="11" t="n">
        <f aca="false">G7-D7</f>
        <v>-500</v>
      </c>
    </row>
    <row r="8" customFormat="false" ht="15" hidden="false" customHeight="false" outlineLevel="0" collapsed="false">
      <c r="A8" s="5" t="s">
        <v>368</v>
      </c>
      <c r="B8" s="5" t="n">
        <v>8</v>
      </c>
      <c r="C8" s="5" t="n">
        <v>15</v>
      </c>
      <c r="D8" s="5" t="n">
        <v>1200</v>
      </c>
      <c r="E8" s="8"/>
      <c r="F8" s="8"/>
      <c r="G8" s="8"/>
      <c r="H8" s="9" t="n">
        <f aca="false">G8-D8</f>
        <v>-1200</v>
      </c>
    </row>
    <row r="9" customFormat="false" ht="15" hidden="false" customHeight="false" outlineLevel="0" collapsed="false">
      <c r="A9" s="6" t="s">
        <v>369</v>
      </c>
      <c r="B9" s="6" t="n">
        <v>15</v>
      </c>
      <c r="C9" s="6" t="n">
        <v>30</v>
      </c>
      <c r="D9" s="6" t="n">
        <v>2500</v>
      </c>
      <c r="E9" s="10"/>
      <c r="F9" s="10"/>
      <c r="G9" s="10"/>
      <c r="H9" s="11" t="n">
        <f aca="false">G9-D9</f>
        <v>-2500</v>
      </c>
    </row>
    <row r="10" customFormat="false" ht="15" hidden="false" customHeight="false" outlineLevel="0" collapsed="false">
      <c r="A10" s="5" t="s">
        <v>370</v>
      </c>
      <c r="B10" s="5" t="n">
        <v>25</v>
      </c>
      <c r="C10" s="5" t="n">
        <v>55</v>
      </c>
      <c r="D10" s="5" t="n">
        <v>4800</v>
      </c>
      <c r="E10" s="8"/>
      <c r="F10" s="8"/>
      <c r="G10" s="8"/>
      <c r="H10" s="9" t="n">
        <f aca="false">G10-D10</f>
        <v>-4800</v>
      </c>
    </row>
    <row r="11" customFormat="false" ht="15" hidden="false" customHeight="false" outlineLevel="0" collapsed="false">
      <c r="A11" s="6" t="s">
        <v>371</v>
      </c>
      <c r="B11" s="6" t="n">
        <v>40</v>
      </c>
      <c r="C11" s="6" t="n">
        <v>95</v>
      </c>
      <c r="D11" s="6" t="n">
        <v>8200</v>
      </c>
      <c r="E11" s="10"/>
      <c r="F11" s="10"/>
      <c r="G11" s="10"/>
      <c r="H11" s="11" t="n">
        <f aca="false">G11-D11</f>
        <v>-8200</v>
      </c>
    </row>
    <row r="12" customFormat="false" ht="15" hidden="false" customHeight="false" outlineLevel="0" collapsed="false">
      <c r="A12" s="5" t="s">
        <v>372</v>
      </c>
      <c r="B12" s="5" t="n">
        <v>20</v>
      </c>
      <c r="C12" s="5" t="n">
        <v>115</v>
      </c>
      <c r="D12" s="5" t="n">
        <v>10000</v>
      </c>
      <c r="E12" s="8"/>
      <c r="F12" s="8"/>
      <c r="G12" s="8"/>
      <c r="H12" s="9" t="n">
        <f aca="false">G12-D12</f>
        <v>-10000</v>
      </c>
    </row>
    <row r="13" customFormat="false" ht="15" hidden="false" customHeight="false" outlineLevel="0" collapsed="false">
      <c r="A13" s="6" t="s">
        <v>373</v>
      </c>
      <c r="B13" s="6" t="n">
        <v>25</v>
      </c>
      <c r="C13" s="6" t="n">
        <v>140</v>
      </c>
      <c r="D13" s="6" t="n">
        <v>12500</v>
      </c>
      <c r="E13" s="10"/>
      <c r="F13" s="10"/>
      <c r="G13" s="10"/>
      <c r="H13" s="11" t="n">
        <f aca="false">G13-D13</f>
        <v>-12500</v>
      </c>
    </row>
    <row r="14" customFormat="false" ht="15" hidden="false" customHeight="false" outlineLevel="0" collapsed="false">
      <c r="A14" s="5" t="s">
        <v>374</v>
      </c>
      <c r="B14" s="5" t="n">
        <v>30</v>
      </c>
      <c r="C14" s="5" t="n">
        <v>170</v>
      </c>
      <c r="D14" s="5" t="n">
        <v>15000</v>
      </c>
      <c r="E14" s="8"/>
      <c r="F14" s="8"/>
      <c r="G14" s="8"/>
      <c r="H14" s="9" t="n">
        <f aca="false">G14-D14</f>
        <v>-15000</v>
      </c>
    </row>
    <row r="17" customFormat="false" ht="17.35" hidden="false" customHeight="false" outlineLevel="0" collapsed="false">
      <c r="A17" s="3" t="s">
        <v>375</v>
      </c>
    </row>
    <row r="18" customFormat="false" ht="31.5" hidden="false" customHeight="true" outlineLevel="0" collapsed="false">
      <c r="A18" s="4" t="s">
        <v>376</v>
      </c>
      <c r="B18" s="4" t="s">
        <v>377</v>
      </c>
      <c r="C18" s="4" t="s">
        <v>378</v>
      </c>
      <c r="D18" s="4" t="s">
        <v>379</v>
      </c>
    </row>
    <row r="19" customFormat="false" ht="15" hidden="false" customHeight="false" outlineLevel="0" collapsed="false">
      <c r="A19" s="5" t="s">
        <v>380</v>
      </c>
      <c r="B19" s="8" t="n">
        <v>30</v>
      </c>
      <c r="C19" s="8" t="n">
        <v>29</v>
      </c>
      <c r="D19" s="9" t="n">
        <f aca="false">B19*C19</f>
        <v>870</v>
      </c>
    </row>
    <row r="20" customFormat="false" ht="15" hidden="false" customHeight="false" outlineLevel="0" collapsed="false">
      <c r="A20" s="6" t="s">
        <v>381</v>
      </c>
      <c r="B20" s="10" t="n">
        <v>60</v>
      </c>
      <c r="C20" s="10" t="n">
        <v>89</v>
      </c>
      <c r="D20" s="11" t="n">
        <f aca="false">B20*C20</f>
        <v>5340</v>
      </c>
    </row>
    <row r="21" customFormat="false" ht="15" hidden="false" customHeight="false" outlineLevel="0" collapsed="false">
      <c r="A21" s="5" t="s">
        <v>382</v>
      </c>
      <c r="B21" s="8" t="n">
        <v>25</v>
      </c>
      <c r="C21" s="8" t="n">
        <v>149</v>
      </c>
      <c r="D21" s="9" t="n">
        <f aca="false">B21*C21</f>
        <v>3725</v>
      </c>
    </row>
    <row r="22" customFormat="false" ht="15" hidden="false" customHeight="false" outlineLevel="0" collapsed="false">
      <c r="A22" s="12" t="s">
        <v>140</v>
      </c>
      <c r="B22" s="11" t="n">
        <f aca="false">SUM(B19:B21)</f>
        <v>115</v>
      </c>
      <c r="C22" s="6" t="s">
        <v>129</v>
      </c>
      <c r="D22" s="11" t="n">
        <f aca="false">SUM(D19:D21)</f>
        <v>9935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2.05" hidden="false" customHeight="false" outlineLevel="0" collapsed="false">
      <c r="A1" s="1" t="s">
        <v>383</v>
      </c>
    </row>
    <row r="3" customFormat="false" ht="36" hidden="false" customHeight="true" outlineLevel="0" collapsed="false">
      <c r="A3" s="2" t="s">
        <v>384</v>
      </c>
      <c r="B3" s="2"/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A5" s="4" t="s">
        <v>188</v>
      </c>
      <c r="B5" s="4" t="s">
        <v>385</v>
      </c>
      <c r="C5" s="4" t="s">
        <v>386</v>
      </c>
      <c r="D5" s="4" t="s">
        <v>387</v>
      </c>
      <c r="E5" s="4" t="s">
        <v>388</v>
      </c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10"/>
      <c r="B7" s="10"/>
      <c r="C7" s="10"/>
      <c r="D7" s="10"/>
      <c r="E7" s="10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10"/>
      <c r="B9" s="10"/>
      <c r="C9" s="10"/>
      <c r="D9" s="10"/>
      <c r="E9" s="10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10"/>
      <c r="B11" s="10"/>
      <c r="C11" s="10"/>
      <c r="D11" s="10"/>
      <c r="E11" s="10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10"/>
      <c r="B15" s="10"/>
      <c r="C15" s="10"/>
      <c r="D15" s="10"/>
      <c r="E15" s="10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10"/>
      <c r="B17" s="10"/>
      <c r="C17" s="10"/>
      <c r="D17" s="10"/>
      <c r="E17" s="10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10"/>
      <c r="B19" s="10"/>
      <c r="C19" s="10"/>
      <c r="D19" s="10"/>
      <c r="E19" s="10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10"/>
      <c r="B21" s="10"/>
      <c r="C21" s="10"/>
      <c r="D21" s="10"/>
      <c r="E21" s="10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10"/>
      <c r="B23" s="10"/>
      <c r="C23" s="10"/>
      <c r="D23" s="10"/>
      <c r="E23" s="10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10"/>
      <c r="B25" s="10"/>
      <c r="C25" s="10"/>
      <c r="D25" s="10"/>
      <c r="E25" s="10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10"/>
      <c r="B27" s="10"/>
      <c r="C27" s="10"/>
      <c r="D27" s="10"/>
      <c r="E27" s="10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10"/>
      <c r="B29" s="10"/>
      <c r="C29" s="10"/>
      <c r="D29" s="10"/>
      <c r="E29" s="10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10"/>
      <c r="B31" s="10"/>
      <c r="C31" s="10"/>
      <c r="D31" s="10"/>
      <c r="E31" s="10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10"/>
      <c r="B33" s="10"/>
      <c r="C33" s="10"/>
      <c r="D33" s="10"/>
      <c r="E33" s="10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10"/>
      <c r="B35" s="10"/>
      <c r="C35" s="10"/>
      <c r="D35" s="10"/>
      <c r="E35" s="10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10"/>
      <c r="B37" s="10"/>
      <c r="C37" s="10"/>
      <c r="D37" s="10"/>
      <c r="E37" s="10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10"/>
      <c r="B39" s="10"/>
      <c r="C39" s="10"/>
      <c r="D39" s="10"/>
      <c r="E39" s="10"/>
    </row>
    <row r="40" customFormat="false" ht="15" hidden="false" customHeight="false" outlineLevel="0" collapsed="false">
      <c r="A40" s="8"/>
      <c r="B40" s="8"/>
      <c r="C40" s="8"/>
      <c r="D40" s="8"/>
      <c r="E40" s="8"/>
    </row>
    <row r="41" customFormat="false" ht="15" hidden="false" customHeight="false" outlineLevel="0" collapsed="false">
      <c r="A41" s="10"/>
      <c r="B41" s="10"/>
      <c r="C41" s="10"/>
      <c r="D41" s="10"/>
      <c r="E41" s="10"/>
    </row>
    <row r="42" customFormat="false" ht="15" hidden="false" customHeight="false" outlineLevel="0" collapsed="false">
      <c r="A42" s="8"/>
      <c r="B42" s="8"/>
      <c r="C42" s="8"/>
      <c r="D42" s="8"/>
      <c r="E42" s="8"/>
    </row>
    <row r="43" customFormat="false" ht="15" hidden="false" customHeight="false" outlineLevel="0" collapsed="false">
      <c r="A43" s="10"/>
      <c r="B43" s="10"/>
      <c r="C43" s="10"/>
      <c r="D43" s="10"/>
      <c r="E43" s="10"/>
    </row>
    <row r="44" customFormat="false" ht="15" hidden="false" customHeight="false" outlineLevel="0" collapsed="false">
      <c r="A44" s="8"/>
      <c r="B44" s="8"/>
      <c r="C44" s="8"/>
      <c r="D44" s="8"/>
      <c r="E44" s="8"/>
    </row>
    <row r="45" customFormat="false" ht="15" hidden="false" customHeight="false" outlineLevel="0" collapsed="false">
      <c r="A45" s="10"/>
      <c r="B45" s="10"/>
      <c r="C45" s="10"/>
      <c r="D45" s="10"/>
      <c r="E45" s="10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8" min="6" style="0" width="12"/>
  </cols>
  <sheetData>
    <row r="1" customFormat="false" ht="22.05" hidden="false" customHeight="false" outlineLevel="0" collapsed="false">
      <c r="A1" s="1" t="s">
        <v>389</v>
      </c>
    </row>
    <row r="3" customFormat="false" ht="36" hidden="false" customHeight="true" outlineLevel="0" collapsed="false">
      <c r="A3" s="2" t="s">
        <v>390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14" t="s">
        <v>391</v>
      </c>
      <c r="B5" s="15"/>
    </row>
    <row r="7" customFormat="false" ht="17.35" hidden="false" customHeight="false" outlineLevel="0" collapsed="false">
      <c r="A7" s="3" t="s">
        <v>392</v>
      </c>
    </row>
    <row r="8" customFormat="false" ht="31.5" hidden="false" customHeight="true" outlineLevel="0" collapsed="false">
      <c r="A8" s="4" t="s">
        <v>58</v>
      </c>
      <c r="B8" s="4" t="s">
        <v>393</v>
      </c>
      <c r="C8" s="4" t="s">
        <v>394</v>
      </c>
      <c r="D8" s="4" t="s">
        <v>395</v>
      </c>
      <c r="E8" s="4" t="s">
        <v>396</v>
      </c>
    </row>
    <row r="9" customFormat="false" ht="15" hidden="false" customHeight="false" outlineLevel="0" collapsed="false">
      <c r="A9" s="5" t="s">
        <v>65</v>
      </c>
      <c r="B9" s="8"/>
      <c r="C9" s="8"/>
      <c r="D9" s="9" t="n">
        <f aca="false">B9-C9</f>
        <v>0</v>
      </c>
      <c r="E9" s="8"/>
    </row>
    <row r="10" customFormat="false" ht="15" hidden="false" customHeight="false" outlineLevel="0" collapsed="false">
      <c r="A10" s="6" t="s">
        <v>66</v>
      </c>
      <c r="B10" s="10"/>
      <c r="C10" s="10"/>
      <c r="D10" s="11" t="n">
        <f aca="false">B10-C10</f>
        <v>0</v>
      </c>
      <c r="E10" s="10"/>
    </row>
    <row r="11" customFormat="false" ht="15" hidden="false" customHeight="false" outlineLevel="0" collapsed="false">
      <c r="A11" s="5" t="s">
        <v>176</v>
      </c>
      <c r="B11" s="8"/>
      <c r="C11" s="8"/>
      <c r="D11" s="9" t="n">
        <f aca="false">B11-C11</f>
        <v>0</v>
      </c>
      <c r="E11" s="8"/>
    </row>
    <row r="12" customFormat="false" ht="15" hidden="false" customHeight="false" outlineLevel="0" collapsed="false">
      <c r="A12" s="6" t="s">
        <v>397</v>
      </c>
      <c r="B12" s="10"/>
      <c r="C12" s="10"/>
      <c r="D12" s="11" t="n">
        <f aca="false">B12-C12</f>
        <v>0</v>
      </c>
      <c r="E12" s="10"/>
    </row>
    <row r="13" customFormat="false" ht="15" hidden="false" customHeight="false" outlineLevel="0" collapsed="false">
      <c r="A13" s="5" t="s">
        <v>71</v>
      </c>
      <c r="B13" s="8"/>
      <c r="C13" s="8"/>
      <c r="D13" s="9" t="n">
        <f aca="false">B13-C13</f>
        <v>0</v>
      </c>
      <c r="E13" s="8"/>
    </row>
    <row r="14" customFormat="false" ht="15" hidden="false" customHeight="false" outlineLevel="0" collapsed="false">
      <c r="A14" s="6" t="s">
        <v>73</v>
      </c>
      <c r="B14" s="10"/>
      <c r="C14" s="10"/>
      <c r="D14" s="11" t="n">
        <f aca="false">B14-C14</f>
        <v>0</v>
      </c>
      <c r="E14" s="10"/>
    </row>
    <row r="15" customFormat="false" ht="15" hidden="false" customHeight="false" outlineLevel="0" collapsed="false">
      <c r="A15" s="5" t="s">
        <v>79</v>
      </c>
      <c r="B15" s="8"/>
      <c r="C15" s="8"/>
      <c r="D15" s="9" t="n">
        <f aca="false">B15-C15</f>
        <v>0</v>
      </c>
      <c r="E15" s="8"/>
    </row>
    <row r="16" customFormat="false" ht="15" hidden="false" customHeight="false" outlineLevel="0" collapsed="false">
      <c r="A16" s="6" t="s">
        <v>78</v>
      </c>
      <c r="B16" s="10"/>
      <c r="C16" s="10"/>
      <c r="D16" s="11" t="n">
        <f aca="false">B16-C16</f>
        <v>0</v>
      </c>
      <c r="E16" s="10"/>
    </row>
    <row r="17" customFormat="false" ht="15" hidden="false" customHeight="false" outlineLevel="0" collapsed="false">
      <c r="A17" s="5" t="s">
        <v>398</v>
      </c>
      <c r="B17" s="8"/>
      <c r="C17" s="8"/>
      <c r="D17" s="9" t="n">
        <f aca="false">B17-C17</f>
        <v>0</v>
      </c>
      <c r="E17" s="8"/>
    </row>
    <row r="18" customFormat="false" ht="15" hidden="false" customHeight="false" outlineLevel="0" collapsed="false">
      <c r="A18" s="6" t="s">
        <v>85</v>
      </c>
      <c r="B18" s="10"/>
      <c r="C18" s="10"/>
      <c r="D18" s="11" t="n">
        <f aca="false">B18-C18</f>
        <v>0</v>
      </c>
      <c r="E18" s="10"/>
    </row>
    <row r="21" customFormat="false" ht="17.35" hidden="false" customHeight="false" outlineLevel="0" collapsed="false">
      <c r="A21" s="3" t="s">
        <v>399</v>
      </c>
    </row>
    <row r="22" customFormat="false" ht="15" hidden="false" customHeight="false" outlineLevel="0" collapsed="false">
      <c r="A22" s="14" t="s">
        <v>400</v>
      </c>
      <c r="B22" s="16"/>
      <c r="C22" s="16"/>
      <c r="D22" s="16"/>
      <c r="E22" s="16"/>
      <c r="F22" s="16"/>
      <c r="G22" s="16"/>
      <c r="H22" s="16"/>
    </row>
    <row r="23" customFormat="false" ht="15" hidden="false" customHeight="false" outlineLevel="0" collapsed="false">
      <c r="A23" s="14" t="s">
        <v>401</v>
      </c>
      <c r="B23" s="16"/>
      <c r="C23" s="16"/>
      <c r="D23" s="16"/>
      <c r="E23" s="16"/>
      <c r="F23" s="16"/>
      <c r="G23" s="16"/>
      <c r="H23" s="16"/>
    </row>
    <row r="24" customFormat="false" ht="15" hidden="false" customHeight="false" outlineLevel="0" collapsed="false">
      <c r="A24" s="14" t="s">
        <v>402</v>
      </c>
      <c r="B24" s="16"/>
      <c r="C24" s="16"/>
      <c r="D24" s="16"/>
      <c r="E24" s="16"/>
      <c r="F24" s="16"/>
      <c r="G24" s="16"/>
      <c r="H24" s="16"/>
    </row>
    <row r="26" customFormat="false" ht="17.35" hidden="false" customHeight="false" outlineLevel="0" collapsed="false">
      <c r="A26" s="3" t="s">
        <v>403</v>
      </c>
    </row>
    <row r="27" customFormat="false" ht="15" hidden="false" customHeight="false" outlineLevel="0" collapsed="false">
      <c r="A27" s="14" t="s">
        <v>404</v>
      </c>
      <c r="B27" s="16"/>
      <c r="C27" s="16"/>
      <c r="D27" s="16"/>
      <c r="E27" s="16"/>
      <c r="F27" s="16"/>
      <c r="G27" s="16"/>
      <c r="H27" s="16"/>
    </row>
    <row r="28" customFormat="false" ht="15" hidden="false" customHeight="false" outlineLevel="0" collapsed="false">
      <c r="A28" s="14" t="s">
        <v>405</v>
      </c>
      <c r="B28" s="16"/>
      <c r="C28" s="16"/>
      <c r="D28" s="16"/>
      <c r="E28" s="16"/>
      <c r="F28" s="16"/>
      <c r="G28" s="16"/>
      <c r="H28" s="16"/>
    </row>
    <row r="29" customFormat="false" ht="15" hidden="false" customHeight="false" outlineLevel="0" collapsed="false">
      <c r="A29" s="14" t="s">
        <v>406</v>
      </c>
      <c r="B29" s="16"/>
      <c r="C29" s="16"/>
      <c r="D29" s="16"/>
      <c r="E29" s="16"/>
      <c r="F29" s="16"/>
      <c r="G29" s="16"/>
      <c r="H29" s="16"/>
    </row>
    <row r="31" customFormat="false" ht="17.35" hidden="false" customHeight="false" outlineLevel="0" collapsed="false">
      <c r="A31" s="3" t="s">
        <v>407</v>
      </c>
    </row>
    <row r="32" customFormat="false" ht="15" hidden="false" customHeight="false" outlineLevel="0" collapsed="false">
      <c r="A32" s="14" t="s">
        <v>408</v>
      </c>
      <c r="B32" s="16"/>
      <c r="C32" s="16"/>
      <c r="D32" s="16"/>
      <c r="E32" s="16"/>
      <c r="F32" s="16"/>
      <c r="G32" s="16"/>
      <c r="H32" s="16"/>
    </row>
    <row r="33" customFormat="false" ht="15" hidden="false" customHeight="false" outlineLevel="0" collapsed="false">
      <c r="A33" s="14" t="s">
        <v>409</v>
      </c>
      <c r="B33" s="16"/>
      <c r="C33" s="16"/>
      <c r="D33" s="16"/>
      <c r="E33" s="16"/>
      <c r="F33" s="16"/>
      <c r="G33" s="16"/>
      <c r="H33" s="16"/>
    </row>
    <row r="34" customFormat="false" ht="15" hidden="false" customHeight="false" outlineLevel="0" collapsed="false">
      <c r="A34" s="14" t="s">
        <v>410</v>
      </c>
      <c r="B34" s="16"/>
      <c r="C34" s="16"/>
      <c r="D34" s="16"/>
      <c r="E34" s="16"/>
      <c r="F34" s="16"/>
      <c r="G34" s="16"/>
      <c r="H34" s="16"/>
    </row>
    <row r="36" customFormat="false" ht="17.35" hidden="false" customHeight="false" outlineLevel="0" collapsed="false">
      <c r="A36" s="3" t="s">
        <v>411</v>
      </c>
    </row>
    <row r="37" customFormat="false" ht="31.5" hidden="false" customHeight="true" outlineLevel="0" collapsed="false">
      <c r="A37" s="4" t="s">
        <v>224</v>
      </c>
      <c r="B37" s="4" t="s">
        <v>171</v>
      </c>
      <c r="C37" s="4" t="s">
        <v>412</v>
      </c>
      <c r="D37" s="4" t="s">
        <v>413</v>
      </c>
    </row>
    <row r="38" customFormat="false" ht="15" hidden="false" customHeight="false" outlineLevel="0" collapsed="false">
      <c r="A38" s="8"/>
      <c r="B38" s="8"/>
      <c r="C38" s="8"/>
      <c r="D38" s="8"/>
    </row>
    <row r="39" customFormat="false" ht="15" hidden="false" customHeight="false" outlineLevel="0" collapsed="false">
      <c r="A39" s="10"/>
      <c r="B39" s="10"/>
      <c r="C39" s="10"/>
      <c r="D39" s="10"/>
    </row>
    <row r="40" customFormat="false" ht="15" hidden="false" customHeight="false" outlineLevel="0" collapsed="false">
      <c r="A40" s="8"/>
      <c r="B40" s="8"/>
      <c r="C40" s="8"/>
      <c r="D40" s="8"/>
    </row>
    <row r="41" customFormat="false" ht="15" hidden="false" customHeight="false" outlineLevel="0" collapsed="false">
      <c r="A41" s="10"/>
      <c r="B41" s="10"/>
      <c r="C41" s="10"/>
      <c r="D41" s="10"/>
    </row>
    <row r="42" customFormat="false" ht="15" hidden="false" customHeight="false" outlineLevel="0" collapsed="false">
      <c r="A42" s="8"/>
      <c r="B42" s="8"/>
      <c r="C42" s="8"/>
      <c r="D42" s="8"/>
    </row>
    <row r="45" customFormat="false" ht="17.35" hidden="false" customHeight="false" outlineLevel="0" collapsed="false">
      <c r="A45" s="3" t="s">
        <v>414</v>
      </c>
    </row>
    <row r="46" customFormat="false" ht="15" hidden="false" customHeight="false" outlineLevel="0" collapsed="false">
      <c r="A46" s="13" t="s">
        <v>415</v>
      </c>
      <c r="B46" s="13"/>
      <c r="C46" s="13"/>
      <c r="D46" s="13"/>
      <c r="E46" s="13"/>
      <c r="F46" s="13"/>
      <c r="G46" s="13"/>
      <c r="H46" s="13"/>
    </row>
    <row r="47" customFormat="false" ht="79.5" hidden="false" customHeight="true" outlineLevel="0" collapsed="false">
      <c r="B47" s="16"/>
      <c r="C47" s="16"/>
      <c r="D47" s="16"/>
      <c r="E47" s="16"/>
      <c r="F47" s="16"/>
      <c r="G47" s="16"/>
      <c r="H47" s="16"/>
    </row>
    <row r="48" customFormat="false" ht="15" hidden="false" customHeight="false" outlineLevel="0" collapsed="false">
      <c r="B48" s="16"/>
      <c r="C48" s="16"/>
      <c r="D48" s="16"/>
      <c r="E48" s="16"/>
      <c r="F48" s="16"/>
      <c r="G48" s="16"/>
      <c r="H48" s="16"/>
    </row>
    <row r="49" customFormat="false" ht="15" hidden="false" customHeight="false" outlineLevel="0" collapsed="false">
      <c r="B49" s="16"/>
      <c r="C49" s="16"/>
      <c r="D49" s="16"/>
      <c r="E49" s="16"/>
      <c r="F49" s="16"/>
      <c r="G49" s="16"/>
      <c r="H49" s="16"/>
    </row>
  </sheetData>
  <mergeCells count="12">
    <mergeCell ref="A3:H3"/>
    <mergeCell ref="B22:H22"/>
    <mergeCell ref="B23:H23"/>
    <mergeCell ref="B24:H24"/>
    <mergeCell ref="B27:H27"/>
    <mergeCell ref="B28:H28"/>
    <mergeCell ref="B29:H29"/>
    <mergeCell ref="B32:H32"/>
    <mergeCell ref="B33:H33"/>
    <mergeCell ref="B34:H34"/>
    <mergeCell ref="A46:H46"/>
    <mergeCell ref="B47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2026-05-10T16:53:34Z</dcterms:created>
  <dc:creator>openpyxl</dc:creator>
  <dc:description/>
  <dc:language>en-US</dc:language>
  <cp:lastModifiedBy/>
  <dcterms:modified xsi:type="dcterms:W3CDTF">2026-05-10T16:53:34Z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